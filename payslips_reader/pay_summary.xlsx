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chikowero\Documents\Local\payslips\"/>
    </mc:Choice>
  </mc:AlternateContent>
  <xr:revisionPtr revIDLastSave="0" documentId="13_ncr:1_{ADFC0E86-04D4-47AA-8592-BF80BCC4804D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Raw Data" sheetId="1" r:id="rId1"/>
    <sheet name="Processed 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 a="1"/>
  <c r="E4" i="2"/>
  <c r="E5" i="2" a="1"/>
  <c r="E5" i="2"/>
  <c r="E6" i="2" a="1"/>
  <c r="E6" i="2"/>
  <c r="E7" i="2" a="1"/>
  <c r="E7" i="2" s="1"/>
  <c r="E8" i="2" a="1"/>
  <c r="E8" i="2"/>
  <c r="E9" i="2" a="1"/>
  <c r="E9" i="2"/>
  <c r="E10" i="2" a="1"/>
  <c r="E10" i="2"/>
  <c r="E11" i="2" a="1"/>
  <c r="E11" i="2" s="1"/>
  <c r="E12" i="2" a="1"/>
  <c r="E12" i="2"/>
  <c r="E13" i="2" a="1"/>
  <c r="E13" i="2"/>
  <c r="E14" i="2" a="1"/>
  <c r="E14" i="2"/>
  <c r="E15" i="2" a="1"/>
  <c r="E15" i="2"/>
  <c r="E16" i="2" a="1"/>
  <c r="E16" i="2"/>
  <c r="E17" i="2" a="1"/>
  <c r="E17" i="2"/>
  <c r="E18" i="2" a="1"/>
  <c r="E18" i="2" s="1"/>
  <c r="E19" i="2" a="1"/>
  <c r="E19" i="2"/>
  <c r="E20" i="2" a="1"/>
  <c r="E20" i="2"/>
  <c r="E21" i="2" a="1"/>
  <c r="E21" i="2"/>
  <c r="E22" i="2" a="1"/>
  <c r="E22" i="2"/>
  <c r="E23" i="2" a="1"/>
  <c r="E23" i="2"/>
  <c r="E24" i="2" a="1"/>
  <c r="E24" i="2"/>
  <c r="E25" i="2" a="1"/>
  <c r="E25" i="2"/>
  <c r="E26" i="2" a="1"/>
  <c r="E26" i="2"/>
  <c r="E27" i="2" a="1"/>
  <c r="E27" i="2"/>
  <c r="E28" i="2" a="1"/>
  <c r="E28" i="2"/>
  <c r="E29" i="2" a="1"/>
  <c r="E29" i="2" s="1"/>
  <c r="E3" i="2" a="1"/>
  <c r="E3" i="2" s="1"/>
  <c r="A4" i="2"/>
  <c r="B4" i="2" s="1"/>
  <c r="C4" i="2"/>
  <c r="D4" i="2"/>
  <c r="F4" i="2" a="1"/>
  <c r="F4" i="2"/>
  <c r="G4" i="2" a="1"/>
  <c r="G4" i="2"/>
  <c r="H4" i="2" a="1"/>
  <c r="H4" i="2"/>
  <c r="I4" i="2" a="1"/>
  <c r="I4" i="2"/>
  <c r="J4" i="2" a="1"/>
  <c r="J4" i="2"/>
  <c r="A5" i="2"/>
  <c r="B5" i="2"/>
  <c r="C5" i="2"/>
  <c r="D5" i="2"/>
  <c r="F5" i="2" a="1"/>
  <c r="F5" i="2" s="1"/>
  <c r="G5" i="2" a="1"/>
  <c r="G5" i="2" s="1"/>
  <c r="H5" i="2" a="1"/>
  <c r="H5" i="2"/>
  <c r="I5" i="2" a="1"/>
  <c r="I5" i="2"/>
  <c r="J5" i="2" a="1"/>
  <c r="J5" i="2"/>
  <c r="A6" i="2"/>
  <c r="B6" i="2"/>
  <c r="C6" i="2"/>
  <c r="D6" i="2"/>
  <c r="F6" i="2" a="1"/>
  <c r="F6" i="2"/>
  <c r="G6" i="2" a="1"/>
  <c r="G6" i="2"/>
  <c r="H6" i="2" a="1"/>
  <c r="H6" i="2"/>
  <c r="I6" i="2" a="1"/>
  <c r="I6" i="2" s="1"/>
  <c r="J6" i="2" a="1"/>
  <c r="J6" i="2" s="1"/>
  <c r="A7" i="2"/>
  <c r="B7" i="2"/>
  <c r="C7" i="2"/>
  <c r="D7" i="2"/>
  <c r="F7" i="2" a="1"/>
  <c r="F7" i="2"/>
  <c r="G7" i="2" a="1"/>
  <c r="G7" i="2"/>
  <c r="H7" i="2" a="1"/>
  <c r="H7" i="2"/>
  <c r="I7" i="2" a="1"/>
  <c r="I7" i="2"/>
  <c r="J7" i="2" a="1"/>
  <c r="J7" i="2"/>
  <c r="A8" i="2"/>
  <c r="B8" i="2"/>
  <c r="C8" i="2"/>
  <c r="D8" i="2"/>
  <c r="F8" i="2" a="1"/>
  <c r="F8" i="2"/>
  <c r="G8" i="2" a="1"/>
  <c r="G8" i="2"/>
  <c r="H8" i="2" a="1"/>
  <c r="H8" i="2"/>
  <c r="I8" i="2" a="1"/>
  <c r="I8" i="2"/>
  <c r="J8" i="2" a="1"/>
  <c r="J8" i="2"/>
  <c r="A9" i="2"/>
  <c r="B9" i="2"/>
  <c r="C9" i="2"/>
  <c r="D9" i="2"/>
  <c r="F9" i="2" a="1"/>
  <c r="F9" i="2"/>
  <c r="G9" i="2" a="1"/>
  <c r="G9" i="2" s="1"/>
  <c r="H9" i="2" a="1"/>
  <c r="H9" i="2" s="1"/>
  <c r="I9" i="2" a="1"/>
  <c r="I9" i="2"/>
  <c r="J9" i="2" a="1"/>
  <c r="J9" i="2"/>
  <c r="A10" i="2"/>
  <c r="B10" i="2"/>
  <c r="C10" i="2"/>
  <c r="D10" i="2"/>
  <c r="F10" i="2" a="1"/>
  <c r="F10" i="2"/>
  <c r="G10" i="2" a="1"/>
  <c r="G10" i="2"/>
  <c r="H10" i="2" a="1"/>
  <c r="H10" i="2"/>
  <c r="I10" i="2" a="1"/>
  <c r="I10" i="2"/>
  <c r="J10" i="2" a="1"/>
  <c r="J10" i="2" s="1"/>
  <c r="A11" i="2"/>
  <c r="B11" i="2" s="1"/>
  <c r="C11" i="2"/>
  <c r="D11" i="2"/>
  <c r="F11" i="2" a="1"/>
  <c r="F11" i="2"/>
  <c r="G11" i="2" a="1"/>
  <c r="G11" i="2"/>
  <c r="H11" i="2" a="1"/>
  <c r="H11" i="2"/>
  <c r="I11" i="2" a="1"/>
  <c r="I11" i="2"/>
  <c r="J11" i="2" a="1"/>
  <c r="J11" i="2" s="1"/>
  <c r="A12" i="2"/>
  <c r="B12" i="2"/>
  <c r="C12" i="2"/>
  <c r="D12" i="2"/>
  <c r="F12" i="2" a="1"/>
  <c r="F12" i="2" s="1"/>
  <c r="G12" i="2" a="1"/>
  <c r="G12" i="2"/>
  <c r="H12" i="2" a="1"/>
  <c r="H12" i="2"/>
  <c r="I12" i="2" a="1"/>
  <c r="I12" i="2"/>
  <c r="J12" i="2" a="1"/>
  <c r="J12" i="2"/>
  <c r="A13" i="2"/>
  <c r="B13" i="2"/>
  <c r="C13" i="2"/>
  <c r="D13" i="2"/>
  <c r="F13" i="2" a="1"/>
  <c r="F13" i="2"/>
  <c r="G13" i="2" a="1"/>
  <c r="G13" i="2"/>
  <c r="H13" i="2" a="1"/>
  <c r="H13" i="2" s="1"/>
  <c r="I13" i="2" a="1"/>
  <c r="I13" i="2" s="1"/>
  <c r="J13" i="2" a="1"/>
  <c r="J13" i="2"/>
  <c r="A14" i="2"/>
  <c r="B14" i="2"/>
  <c r="C14" i="2"/>
  <c r="D14" i="2"/>
  <c r="F14" i="2" a="1"/>
  <c r="F14" i="2"/>
  <c r="G14" i="2" a="1"/>
  <c r="G14" i="2"/>
  <c r="H14" i="2" a="1"/>
  <c r="H14" i="2"/>
  <c r="I14" i="2" a="1"/>
  <c r="I14" i="2"/>
  <c r="J14" i="2" a="1"/>
  <c r="J14" i="2"/>
  <c r="A15" i="2"/>
  <c r="B15" i="2" s="1"/>
  <c r="C15" i="2"/>
  <c r="D15" i="2"/>
  <c r="F15" i="2" a="1"/>
  <c r="F15" i="2"/>
  <c r="G15" i="2" a="1"/>
  <c r="G15" i="2"/>
  <c r="H15" i="2" a="1"/>
  <c r="H15" i="2"/>
  <c r="I15" i="2" a="1"/>
  <c r="I15" i="2"/>
  <c r="J15" i="2" a="1"/>
  <c r="J15" i="2"/>
  <c r="A16" i="2"/>
  <c r="B16" i="2"/>
  <c r="C16" i="2"/>
  <c r="D16" i="2"/>
  <c r="F16" i="2" a="1"/>
  <c r="F16" i="2" s="1"/>
  <c r="G16" i="2" a="1"/>
  <c r="G16" i="2" s="1"/>
  <c r="H16" i="2" a="1"/>
  <c r="H16" i="2"/>
  <c r="I16" i="2" a="1"/>
  <c r="I16" i="2"/>
  <c r="J16" i="2" a="1"/>
  <c r="J16" i="2"/>
  <c r="A17" i="2"/>
  <c r="B17" i="2"/>
  <c r="C17" i="2"/>
  <c r="D17" i="2"/>
  <c r="F17" i="2" a="1"/>
  <c r="F17" i="2"/>
  <c r="G17" i="2" a="1"/>
  <c r="G17" i="2"/>
  <c r="H17" i="2" a="1"/>
  <c r="H17" i="2"/>
  <c r="I17" i="2" a="1"/>
  <c r="I17" i="2" s="1"/>
  <c r="J17" i="2" a="1"/>
  <c r="J17" i="2" s="1"/>
  <c r="A18" i="2"/>
  <c r="B18" i="2"/>
  <c r="C18" i="2"/>
  <c r="D18" i="2"/>
  <c r="F18" i="2" a="1"/>
  <c r="F18" i="2"/>
  <c r="G18" i="2" a="1"/>
  <c r="G18" i="2"/>
  <c r="H18" i="2" a="1"/>
  <c r="H18" i="2"/>
  <c r="I18" i="2" a="1"/>
  <c r="I18" i="2"/>
  <c r="J18" i="2" a="1"/>
  <c r="J18" i="2"/>
  <c r="A19" i="2"/>
  <c r="B19" i="2"/>
  <c r="C19" i="2"/>
  <c r="D19" i="2"/>
  <c r="F19" i="2" a="1"/>
  <c r="F19" i="2"/>
  <c r="G19" i="2" a="1"/>
  <c r="G19" i="2"/>
  <c r="H19" i="2" a="1"/>
  <c r="H19" i="2"/>
  <c r="I19" i="2" a="1"/>
  <c r="I19" i="2"/>
  <c r="J19" i="2" a="1"/>
  <c r="J19" i="2"/>
  <c r="A20" i="2"/>
  <c r="B20" i="2"/>
  <c r="C20" i="2"/>
  <c r="D20" i="2"/>
  <c r="F20" i="2" a="1"/>
  <c r="F20" i="2"/>
  <c r="G20" i="2" a="1"/>
  <c r="G20" i="2" s="1"/>
  <c r="H20" i="2" a="1"/>
  <c r="H20" i="2" s="1"/>
  <c r="I20" i="2" a="1"/>
  <c r="I20" i="2"/>
  <c r="J20" i="2" a="1"/>
  <c r="J20" i="2"/>
  <c r="A21" i="2"/>
  <c r="B21" i="2"/>
  <c r="C21" i="2"/>
  <c r="D21" i="2"/>
  <c r="F21" i="2" a="1"/>
  <c r="F21" i="2"/>
  <c r="G21" i="2" a="1"/>
  <c r="G21" i="2"/>
  <c r="H21" i="2" a="1"/>
  <c r="H21" i="2"/>
  <c r="I21" i="2" a="1"/>
  <c r="I21" i="2"/>
  <c r="J21" i="2" a="1"/>
  <c r="J21" i="2" s="1"/>
  <c r="A22" i="2"/>
  <c r="B22" i="2" s="1"/>
  <c r="C22" i="2"/>
  <c r="D22" i="2"/>
  <c r="F22" i="2" a="1"/>
  <c r="F22" i="2"/>
  <c r="G22" i="2" a="1"/>
  <c r="G22" i="2"/>
  <c r="H22" i="2" a="1"/>
  <c r="H22" i="2"/>
  <c r="I22" i="2" a="1"/>
  <c r="I22" i="2"/>
  <c r="J22" i="2" a="1"/>
  <c r="J22" i="2"/>
  <c r="A23" i="2"/>
  <c r="B23" i="2"/>
  <c r="C23" i="2"/>
  <c r="D23" i="2"/>
  <c r="F23" i="2" a="1"/>
  <c r="F23" i="2" s="1"/>
  <c r="G23" i="2" a="1"/>
  <c r="G23" i="2"/>
  <c r="H23" i="2" a="1"/>
  <c r="H23" i="2"/>
  <c r="I23" i="2" a="1"/>
  <c r="I23" i="2"/>
  <c r="J23" i="2" a="1"/>
  <c r="J23" i="2"/>
  <c r="A24" i="2"/>
  <c r="B24" i="2"/>
  <c r="C24" i="2"/>
  <c r="D24" i="2"/>
  <c r="F24" i="2" a="1"/>
  <c r="F24" i="2"/>
  <c r="G24" i="2" a="1"/>
  <c r="G24" i="2"/>
  <c r="H24" i="2" a="1"/>
  <c r="H24" i="2" s="1"/>
  <c r="I24" i="2" a="1"/>
  <c r="I24" i="2" s="1"/>
  <c r="J24" i="2" a="1"/>
  <c r="J24" i="2"/>
  <c r="A25" i="2"/>
  <c r="B25" i="2"/>
  <c r="C25" i="2"/>
  <c r="D25" i="2"/>
  <c r="F25" i="2" a="1"/>
  <c r="F25" i="2"/>
  <c r="G25" i="2" a="1"/>
  <c r="G25" i="2"/>
  <c r="H25" i="2" a="1"/>
  <c r="H25" i="2"/>
  <c r="I25" i="2" a="1"/>
  <c r="I25" i="2"/>
  <c r="J25" i="2" a="1"/>
  <c r="J25" i="2"/>
  <c r="A26" i="2"/>
  <c r="B26" i="2" s="1"/>
  <c r="C26" i="2"/>
  <c r="D26" i="2"/>
  <c r="F26" i="2" a="1"/>
  <c r="F26" i="2"/>
  <c r="G26" i="2" a="1"/>
  <c r="G26" i="2"/>
  <c r="H26" i="2" a="1"/>
  <c r="H26" i="2"/>
  <c r="I26" i="2" a="1"/>
  <c r="I26" i="2"/>
  <c r="J26" i="2" a="1"/>
  <c r="J26" i="2"/>
  <c r="A27" i="2"/>
  <c r="B27" i="2"/>
  <c r="C27" i="2"/>
  <c r="D27" i="2"/>
  <c r="F27" i="2" a="1"/>
  <c r="F27" i="2" s="1"/>
  <c r="G27" i="2" a="1"/>
  <c r="G27" i="2" s="1"/>
  <c r="H27" i="2" a="1"/>
  <c r="H27" i="2"/>
  <c r="I27" i="2" a="1"/>
  <c r="I27" i="2"/>
  <c r="J27" i="2" a="1"/>
  <c r="J27" i="2"/>
  <c r="A28" i="2"/>
  <c r="B28" i="2"/>
  <c r="C28" i="2"/>
  <c r="D28" i="2"/>
  <c r="F28" i="2" a="1"/>
  <c r="F28" i="2"/>
  <c r="G28" i="2" a="1"/>
  <c r="G28" i="2"/>
  <c r="H28" i="2" a="1"/>
  <c r="H28" i="2"/>
  <c r="I28" i="2" a="1"/>
  <c r="I28" i="2" s="1"/>
  <c r="J28" i="2" a="1"/>
  <c r="J28" i="2" s="1"/>
  <c r="A29" i="2"/>
  <c r="B29" i="2"/>
  <c r="C29" i="2"/>
  <c r="D29" i="2"/>
  <c r="F29" i="2" a="1"/>
  <c r="F29" i="2"/>
  <c r="G29" i="2" a="1"/>
  <c r="G29" i="2"/>
  <c r="H29" i="2" a="1"/>
  <c r="H29" i="2"/>
  <c r="I29" i="2" a="1"/>
  <c r="I29" i="2"/>
  <c r="J29" i="2" a="1"/>
  <c r="J29" i="2"/>
  <c r="J3" i="2" a="1"/>
  <c r="J3" i="2"/>
  <c r="I3" i="2" a="1"/>
  <c r="I3" i="2" s="1"/>
  <c r="H3" i="2" a="1"/>
  <c r="H3" i="2"/>
  <c r="G3" i="2" a="1"/>
  <c r="G3" i="2"/>
  <c r="F3" i="2" a="1"/>
  <c r="F3" i="2"/>
  <c r="D3" i="2"/>
  <c r="C3" i="2"/>
  <c r="A3" i="2"/>
  <c r="B3" i="2" s="1"/>
  <c r="D1" i="2" l="1"/>
  <c r="E1" i="2"/>
  <c r="I1" i="2"/>
  <c r="G1" i="2"/>
  <c r="H1" i="2"/>
  <c r="J1" i="2"/>
  <c r="F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<sst xmlns="http://schemas.openxmlformats.org/spreadsheetml/2006/main" count="839" uniqueCount="232">
  <si>
    <t>File Name</t>
  </si>
  <si>
    <t>Pay Cycle</t>
  </si>
  <si>
    <t>Pay Sequence</t>
  </si>
  <si>
    <t>Employer</t>
  </si>
  <si>
    <t>Employer Address</t>
  </si>
  <si>
    <t>Employee Name</t>
  </si>
  <si>
    <t>Employee Address</t>
  </si>
  <si>
    <t>Account</t>
  </si>
  <si>
    <t>Net Pay</t>
  </si>
  <si>
    <t>Employee ID</t>
  </si>
  <si>
    <t>Work Period Start</t>
  </si>
  <si>
    <t>Work Period End</t>
  </si>
  <si>
    <t>Employee Title</t>
  </si>
  <si>
    <t>Pay Date</t>
  </si>
  <si>
    <t>EARNINGS - Description 1</t>
  </si>
  <si>
    <t>EARNINGS - Hrs 1</t>
  </si>
  <si>
    <t>EARNINGS - Rate 1</t>
  </si>
  <si>
    <t>EARNINGS - Amount 1</t>
  </si>
  <si>
    <t>EARNINGS - Cumul. 1</t>
  </si>
  <si>
    <t>EARNINGS - Description 2</t>
  </si>
  <si>
    <t>EARNINGS - Hrs 2</t>
  </si>
  <si>
    <t>EARNINGS - Rate 2</t>
  </si>
  <si>
    <t>EARNINGS - Amount 2</t>
  </si>
  <si>
    <t>EARNINGS - Cumul. 2</t>
  </si>
  <si>
    <t>EARNINGS - Description 3</t>
  </si>
  <si>
    <t>EARNINGS - Hrs 3</t>
  </si>
  <si>
    <t>EARNINGS - Rate 3</t>
  </si>
  <si>
    <t>EARNINGS - Amount 3</t>
  </si>
  <si>
    <t>EARNINGS - Cumul. 3</t>
  </si>
  <si>
    <t>EARNINGS - Description 4</t>
  </si>
  <si>
    <t>EARNINGS - Hrs 4</t>
  </si>
  <si>
    <t>EARNINGS - Rate 4</t>
  </si>
  <si>
    <t>EARNINGS - Amount 4</t>
  </si>
  <si>
    <t>EARNINGS - Cumul. 4</t>
  </si>
  <si>
    <t>EARNINGS - Description 5</t>
  </si>
  <si>
    <t>EARNINGS - Hrs 5</t>
  </si>
  <si>
    <t>EARNINGS - Rate 5</t>
  </si>
  <si>
    <t>EARNINGS - Amount 5</t>
  </si>
  <si>
    <t>EARNINGS - Cumul. 5</t>
  </si>
  <si>
    <t>EARNINGS - Description 6</t>
  </si>
  <si>
    <t>EARNINGS - Hrs 6</t>
  </si>
  <si>
    <t>EARNINGS - Rate 6</t>
  </si>
  <si>
    <t>EARNINGS - Amount 6</t>
  </si>
  <si>
    <t>EARNINGS - Cumul. 6</t>
  </si>
  <si>
    <t>EARNINGS - Description 7</t>
  </si>
  <si>
    <t>EARNINGS - Hrs 7</t>
  </si>
  <si>
    <t>EARNINGS - Rate 7</t>
  </si>
  <si>
    <t>EARNINGS - Amount 7</t>
  </si>
  <si>
    <t>EARNINGS - Cumul. 7</t>
  </si>
  <si>
    <t>EARNINGS - Description 8</t>
  </si>
  <si>
    <t>EARNINGS - Hrs 8</t>
  </si>
  <si>
    <t>EARNINGS - Rate 8</t>
  </si>
  <si>
    <t>EARNINGS - Amount 8</t>
  </si>
  <si>
    <t>EARNINGS - Cumul. 8</t>
  </si>
  <si>
    <t>EARNINGS - Description 9</t>
  </si>
  <si>
    <t>EARNINGS - Hrs 9</t>
  </si>
  <si>
    <t>EARNINGS - Rate 9</t>
  </si>
  <si>
    <t>EARNINGS - Amount 9</t>
  </si>
  <si>
    <t>EARNINGS - Cumul. 9</t>
  </si>
  <si>
    <t>EARNINGS - Description 10</t>
  </si>
  <si>
    <t>EARNINGS - Hrs 10</t>
  </si>
  <si>
    <t>EARNINGS - Rate 10</t>
  </si>
  <si>
    <t>EARNINGS - Amount 10</t>
  </si>
  <si>
    <t>EARNINGS - Cumul. 10</t>
  </si>
  <si>
    <t>DEDUCTIONS - Description 1</t>
  </si>
  <si>
    <t>DEDUCTIONS - Amount 1</t>
  </si>
  <si>
    <t>DEDUCTIONS - Cumul. 1</t>
  </si>
  <si>
    <t>DEDUCTIONS - Description 2</t>
  </si>
  <si>
    <t>DEDUCTIONS - Amount 2</t>
  </si>
  <si>
    <t>DEDUCTIONS - Cumul. 2</t>
  </si>
  <si>
    <t>DEDUCTIONS - Description 3</t>
  </si>
  <si>
    <t>DEDUCTIONS - Amount 3</t>
  </si>
  <si>
    <t>DEDUCTIONS - Cumul. 3</t>
  </si>
  <si>
    <t>DEDUCTIONS - Description 4</t>
  </si>
  <si>
    <t>DEDUCTIONS - Amount 4</t>
  </si>
  <si>
    <t>DEDUCTIONS - Cumul. 4</t>
  </si>
  <si>
    <t>DEDUCTIONS - Description 5</t>
  </si>
  <si>
    <t>DEDUCTIONS - Amount 5</t>
  </si>
  <si>
    <t>DEDUCTIONS - Cumul. 5</t>
  </si>
  <si>
    <t>DEDUCTIONS - Description 6</t>
  </si>
  <si>
    <t>DEDUCTIONS - Amount 6</t>
  </si>
  <si>
    <t>DEDUCTIONS - Cumul. 6</t>
  </si>
  <si>
    <t>DEDUCTIONS - Description 7</t>
  </si>
  <si>
    <t>DEDUCTIONS - Amount 7</t>
  </si>
  <si>
    <t>DEDUCTIONS - Cumul. 7</t>
  </si>
  <si>
    <t>DEDUCTIONS - Description 8</t>
  </si>
  <si>
    <t>DEDUCTIONS - Amount 8</t>
  </si>
  <si>
    <t>DEDUCTIONS - Cumul. 8</t>
  </si>
  <si>
    <t>DEDUCTIONS - Description 9</t>
  </si>
  <si>
    <t>DEDUCTIONS - Amount 9</t>
  </si>
  <si>
    <t>DEDUCTIONS - Cumul. 9</t>
  </si>
  <si>
    <t>DEDUCTIONS - Description 10</t>
  </si>
  <si>
    <t>DEDUCTIONS - Amount 10</t>
  </si>
  <si>
    <t>DEDUCTIONS - Cumul. 10</t>
  </si>
  <si>
    <t>ACCRUALS - Description 1</t>
  </si>
  <si>
    <t>ACCRUALS - Amount 1</t>
  </si>
  <si>
    <t>ACCRUALS - Cumul. 1</t>
  </si>
  <si>
    <t>ACCRUALS - Description 2</t>
  </si>
  <si>
    <t>ACCRUALS - Amount 2</t>
  </si>
  <si>
    <t>ACCRUALS - Cumul. 2</t>
  </si>
  <si>
    <t>ACCRUALS - Description 3</t>
  </si>
  <si>
    <t>ACCRUALS - Amount 3</t>
  </si>
  <si>
    <t>ACCRUALS - Cumul. 3</t>
  </si>
  <si>
    <t>ACCRUALS - Description 4</t>
  </si>
  <si>
    <t>ACCRUALS - Amount 4</t>
  </si>
  <si>
    <t>ACCRUALS - Cumul. 4</t>
  </si>
  <si>
    <t>ACCRUALS - Description 5</t>
  </si>
  <si>
    <t>ACCRUALS - Amount 5</t>
  </si>
  <si>
    <t>ACCRUALS - Cumul. 5</t>
  </si>
  <si>
    <t>ACCRUALS - Description 6</t>
  </si>
  <si>
    <t>ACCRUALS - Amount 6</t>
  </si>
  <si>
    <t>ACCRUALS - Cumul. 6</t>
  </si>
  <si>
    <t>ACCRUALS - Description 7</t>
  </si>
  <si>
    <t>ACCRUALS - Amount 7</t>
  </si>
  <si>
    <t>ACCRUALS - Cumul. 7</t>
  </si>
  <si>
    <t>ACCRUALS - Description 8</t>
  </si>
  <si>
    <t>ACCRUALS - Amount 8</t>
  </si>
  <si>
    <t>ACCRUALS - Cumul. 8</t>
  </si>
  <si>
    <t>ACCRUALS - Description 9</t>
  </si>
  <si>
    <t>ACCRUALS - Amount 9</t>
  </si>
  <si>
    <t>ACCRUALS - Cumul. 9</t>
  </si>
  <si>
    <t>ACCRUALS - Description 10</t>
  </si>
  <si>
    <t>ACCRUALS - Amount 10</t>
  </si>
  <si>
    <t>ACCRUALS - Cumul. 10</t>
  </si>
  <si>
    <t>EI Hours</t>
  </si>
  <si>
    <t>EMPLOYER CONTRIBUTION - Description 1</t>
  </si>
  <si>
    <t>EMPLOYER CONTRIBUTION - Hrs 1</t>
  </si>
  <si>
    <t>EMPLOYER CONTRIBUTION - Rate 1</t>
  </si>
  <si>
    <t>EMPLOYER CONTRIBUTION - Amount 1</t>
  </si>
  <si>
    <t>EMPLOYER CONTRIBUTION - Cumul. 1</t>
  </si>
  <si>
    <t>EMPLOYER CONTRIBUTION - Description 2</t>
  </si>
  <si>
    <t>EMPLOYER CONTRIBUTION - Hrs 2</t>
  </si>
  <si>
    <t>EMPLOYER CONTRIBUTION - Rate 2</t>
  </si>
  <si>
    <t>EMPLOYER CONTRIBUTION - Amount 2</t>
  </si>
  <si>
    <t>EMPLOYER CONTRIBUTION - Cumul. 2</t>
  </si>
  <si>
    <t>EMPLOYER CONTRIBUTION - Description 3</t>
  </si>
  <si>
    <t>EMPLOYER CONTRIBUTION - Hrs 3</t>
  </si>
  <si>
    <t>EMPLOYER CONTRIBUTION - Rate 3</t>
  </si>
  <si>
    <t>EMPLOYER CONTRIBUTION - Amount 3</t>
  </si>
  <si>
    <t>EMPLOYER CONTRIBUTION - Cumul. 3</t>
  </si>
  <si>
    <t>EMPLOYER CONTRIBUTION - Description 4</t>
  </si>
  <si>
    <t>EMPLOYER CONTRIBUTION - Hrs 4</t>
  </si>
  <si>
    <t>EMPLOYER CONTRIBUTION - Rate 4</t>
  </si>
  <si>
    <t>EMPLOYER CONTRIBUTION - Amount 4</t>
  </si>
  <si>
    <t>EMPLOYER CONTRIBUTION - Cumul. 4</t>
  </si>
  <si>
    <t>EMPLOYER CONTRIBUTION - Description 5</t>
  </si>
  <si>
    <t>EMPLOYER CONTRIBUTION - Hrs 5</t>
  </si>
  <si>
    <t>EMPLOYER CONTRIBUTION - Rate 5</t>
  </si>
  <si>
    <t>EMPLOYER CONTRIBUTION - Amount 5</t>
  </si>
  <si>
    <t>EMPLOYER CONTRIBUTION - Cumul. 5</t>
  </si>
  <si>
    <t>EMPLOYER CONTRIBUTION - Description 6</t>
  </si>
  <si>
    <t>EMPLOYER CONTRIBUTION - Hrs 6</t>
  </si>
  <si>
    <t>EMPLOYER CONTRIBUTION - Rate 6</t>
  </si>
  <si>
    <t>EMPLOYER CONTRIBUTION - Amount 6</t>
  </si>
  <si>
    <t>EMPLOYER CONTRIBUTION - Cumul. 6</t>
  </si>
  <si>
    <t>EMPLOYER CONTRIBUTION - Description 7</t>
  </si>
  <si>
    <t>EMPLOYER CONTRIBUTION - Hrs 7</t>
  </si>
  <si>
    <t>EMPLOYER CONTRIBUTION - Rate 7</t>
  </si>
  <si>
    <t>EMPLOYER CONTRIBUTION - Amount 7</t>
  </si>
  <si>
    <t>EMPLOYER CONTRIBUTION - Cumul. 7</t>
  </si>
  <si>
    <t>EMPLOYER CONTRIBUTION - Description 8</t>
  </si>
  <si>
    <t>EMPLOYER CONTRIBUTION - Hrs 8</t>
  </si>
  <si>
    <t>EMPLOYER CONTRIBUTION - Rate 8</t>
  </si>
  <si>
    <t>EMPLOYER CONTRIBUTION - Amount 8</t>
  </si>
  <si>
    <t>EMPLOYER CONTRIBUTION - Cumul. 8</t>
  </si>
  <si>
    <t>EMPLOYER CONTRIBUTION - Description 9</t>
  </si>
  <si>
    <t>EMPLOYER CONTRIBUTION - Hrs 9</t>
  </si>
  <si>
    <t>EMPLOYER CONTRIBUTION - Rate 9</t>
  </si>
  <si>
    <t>EMPLOYER CONTRIBUTION - Amount 9</t>
  </si>
  <si>
    <t>EMPLOYER CONTRIBUTION - Cumul. 9</t>
  </si>
  <si>
    <t>EMPLOYER CONTRIBUTION - Description 10</t>
  </si>
  <si>
    <t>EMPLOYER CONTRIBUTION - Hrs 10</t>
  </si>
  <si>
    <t>EMPLOYER CONTRIBUTION - Rate 10</t>
  </si>
  <si>
    <t>EMPLOYER CONTRIBUTION - Amount 10</t>
  </si>
  <si>
    <t>EMPLOYER CONTRIBUTION - Cumul. 10</t>
  </si>
  <si>
    <t>EMPLOYEE BENEFIT - Description</t>
  </si>
  <si>
    <t>EMPLOYEE BENEFIT - Amount</t>
  </si>
  <si>
    <t>EMPLOYEE BENEFIT - Cumul.</t>
  </si>
  <si>
    <t>134 2024 23 Jul - 05 Aug TT003576_202416_1.pdf</t>
  </si>
  <si>
    <t>1-10</t>
  </si>
  <si>
    <t>Thornton Tomasetti Canada Inc</t>
  </si>
  <si>
    <t>116 Spadina Ave. Suite 301 Toronto Ontario Canada M5V 2K6</t>
  </si>
  <si>
    <t>Ruvimbo Chikowero</t>
  </si>
  <si>
    <t>301-116 Spadina Avenue Toronto, Ontario M5V 2K6</t>
  </si>
  <si>
    <t>010-06552 ***336</t>
  </si>
  <si>
    <t>TT003576</t>
  </si>
  <si>
    <t>Digital Design Technologist</t>
  </si>
  <si>
    <t>Annual Bonus</t>
  </si>
  <si>
    <t>Salary Regular Earning</t>
  </si>
  <si>
    <t>CPP Premium</t>
  </si>
  <si>
    <t>EI Premium</t>
  </si>
  <si>
    <t>Federal Tax</t>
  </si>
  <si>
    <t>Group Insurance Premium</t>
  </si>
  <si>
    <t>Insurance - L.T.D Premium</t>
  </si>
  <si>
    <t>RRSP - EE %</t>
  </si>
  <si>
    <t>80.00</t>
  </si>
  <si>
    <t>DPSP - ER %</t>
  </si>
  <si>
    <t>Insurance ER - AD&amp;D</t>
  </si>
  <si>
    <t>Insurance ER - Life</t>
  </si>
  <si>
    <t>not used</t>
  </si>
  <si>
    <t>135 2024 06 Aug - 19 Aug TT003576_202417_1.pdf</t>
  </si>
  <si>
    <t>136 2024 20 Aug - 02 Sep TT003576_202418_1.pdf</t>
  </si>
  <si>
    <t>137 2024 03 Sep - 16 Sep TT003576_202419_1.pdf</t>
  </si>
  <si>
    <t>138 2024 17 Sep - 30 Sep TT003576_202420_1.pdf</t>
  </si>
  <si>
    <t>CPP Second Contribution</t>
  </si>
  <si>
    <t>139 2024 01 Oct - 14 Oct TT003576_202421_1.pdf</t>
  </si>
  <si>
    <t>140 2024 15 Oct - 28 Oct TT003576_202422_1.pdf</t>
  </si>
  <si>
    <t>141 2024 29 Oct - 11 Nov TT003576_202423_1.pdf</t>
  </si>
  <si>
    <t>142 2024 12 Nov - 25 Nov TT003576_202424_1.pdf</t>
  </si>
  <si>
    <t>Fitness allowance</t>
  </si>
  <si>
    <t>143 2024 26 Nov - 09 Dec TT003576_202425_1.pdf</t>
  </si>
  <si>
    <t>144 2024 10 Dec - 23 Dec TT003576_202426_1.pdf</t>
  </si>
  <si>
    <t>145 2024 24 Dec - 2025 06 Jan TT003576_202501_1.pdf</t>
  </si>
  <si>
    <t>146 2025 07 Jan - 20 Jan TT003576_202502_1.pdf</t>
  </si>
  <si>
    <t>147 21 Jan 2025 - 03 Feb 2025 TT003576_202503_1.pdf</t>
  </si>
  <si>
    <t>148 04 Feb 2025 - 17 Feb 2025 TT003576_202504_1.pdf</t>
  </si>
  <si>
    <t>149 18 Feb 2025 - 03 Mar 2025 TT003576_202505_1.pdf</t>
  </si>
  <si>
    <t>150 04 Mar 2025 - 17 Mar 2025 TT003576_202506_1.pdf</t>
  </si>
  <si>
    <t>151 18 Mar 2025 - 31 Mar 2025 TT003576_202507_1.pdf</t>
  </si>
  <si>
    <t>152 01 Apr 2025 - 14 Apr 2025 TT003576_202508_1.pdf</t>
  </si>
  <si>
    <t>152 01 Apr 2025 - 14 Apr 2025 TT003576_202508_2 bonus.pdf</t>
  </si>
  <si>
    <t>2-30</t>
  </si>
  <si>
    <t>0.00</t>
  </si>
  <si>
    <t>153 15 Apr 2025 - 28 Apr 2025 TT003576_202509_1.pdf</t>
  </si>
  <si>
    <t>154 29 Apr 2025 - 12 May 2025 TT003576_202510_1.pdf</t>
  </si>
  <si>
    <t>155 13 May 2025 - 26 May 2025 TT003576_202511_1.pdf</t>
  </si>
  <si>
    <t>156 27 May 2025 - 09 Jun 2025 TT003576_202512_1.pdf</t>
  </si>
  <si>
    <t>157 10 Jun 2025 - 23 Jun 2025 TT003576_202513_1.pdf</t>
  </si>
  <si>
    <t>158 24 Jun 2025 - 07 Jul 2025 TT003576_202514_1.pdf</t>
  </si>
  <si>
    <t>159 08 Jul 2025 - 21 Jul 2025 TT003576_202515_1.pdf</t>
  </si>
  <si>
    <t>TOTALS</t>
  </si>
  <si>
    <t>Paystub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</si>
</sst>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4" fontId="1" fillId="2" borderId="0" xfId="0" applyNumberFormat="1" applyFont="1" applyFill="1"/>
    <xf numFmtId="164" fontId="0" fillId="2" borderId="0" xfId="0" applyNumberFormat="1" applyFill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Payroll Deductions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'Processed Data'!$D$2</c:f>
              <c:strCache>
                <c:ptCount val="1"/>
                <c:pt idx="0">
                  <c:v>Net Pay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'Processed Data'!$B$3:$B$29</c:f>
              <c:strCache>
                <c:ptCount val="27"/>
                <c:pt idx="0">
                  <c:v>134</c:v>
                </c:pt>
                <c:pt idx="1">
                  <c:v>135</c:v>
                </c:pt>
                <c:pt idx="2">
                  <c:v>136</c:v>
                </c:pt>
                <c:pt idx="3">
                  <c:v>137</c:v>
                </c:pt>
                <c:pt idx="4">
                  <c:v>138</c:v>
                </c:pt>
                <c:pt idx="5">
                  <c:v>139</c:v>
                </c:pt>
                <c:pt idx="6">
                  <c:v>140</c:v>
                </c:pt>
                <c:pt idx="7">
                  <c:v>141</c:v>
                </c:pt>
                <c:pt idx="8">
                  <c:v>142</c:v>
                </c:pt>
                <c:pt idx="9">
                  <c:v>143</c:v>
                </c:pt>
                <c:pt idx="10">
                  <c:v>144</c:v>
                </c:pt>
                <c:pt idx="11">
                  <c:v>145</c:v>
                </c:pt>
                <c:pt idx="12">
                  <c:v>146</c:v>
                </c:pt>
                <c:pt idx="13">
                  <c:v>147</c:v>
                </c:pt>
                <c:pt idx="14">
                  <c:v>148</c:v>
                </c:pt>
                <c:pt idx="15">
                  <c:v>149</c:v>
                </c:pt>
                <c:pt idx="16">
                  <c:v>150</c:v>
                </c:pt>
                <c:pt idx="17">
                  <c:v>151</c:v>
                </c:pt>
                <c:pt idx="18">
                  <c:v>152</c:v>
                </c:pt>
                <c:pt idx="19">
                  <c:v>152</c:v>
                </c:pt>
                <c:pt idx="20">
                  <c:v>153</c:v>
                </c:pt>
                <c:pt idx="21">
                  <c:v>154</c:v>
                </c:pt>
                <c:pt idx="22">
                  <c:v>155</c:v>
                </c:pt>
                <c:pt idx="23">
                  <c:v>156</c:v>
                </c:pt>
                <c:pt idx="24">
                  <c:v>157</c:v>
                </c:pt>
                <c:pt idx="25">
                  <c:v>158</c:v>
                </c:pt>
                <c:pt idx="26">
                  <c:v>159</c:v>
                </c:pt>
              </c:strCache>
            </c:strRef>
          </c:cat>
          <c:val>
            <c:numRef>
              <c:f>'Processed Data'!$D$3:$D$29</c:f>
              <c:numCache>
                <c:formatCode>"$"#,##0.00</c:formatCode>
                <c:ptCount val="27"/>
                <c:pt idx="0">
                  <c:v>2312.5</c:v>
                </c:pt>
                <c:pt idx="1">
                  <c:v>2312.5</c:v>
                </c:pt>
                <c:pt idx="2">
                  <c:v>2363.7199999999998</c:v>
                </c:pt>
                <c:pt idx="3">
                  <c:v>2397.37</c:v>
                </c:pt>
                <c:pt idx="4">
                  <c:v>2466.5700000000002</c:v>
                </c:pt>
                <c:pt idx="5">
                  <c:v>2502.06</c:v>
                </c:pt>
                <c:pt idx="6">
                  <c:v>2550.8000000000002</c:v>
                </c:pt>
                <c:pt idx="7">
                  <c:v>2550.8000000000002</c:v>
                </c:pt>
                <c:pt idx="8">
                  <c:v>2831.48</c:v>
                </c:pt>
                <c:pt idx="9">
                  <c:v>2550.8000000000002</c:v>
                </c:pt>
                <c:pt idx="10">
                  <c:v>2550.8000000000002</c:v>
                </c:pt>
                <c:pt idx="11">
                  <c:v>2311.17</c:v>
                </c:pt>
                <c:pt idx="12">
                  <c:v>2321.9299999999998</c:v>
                </c:pt>
                <c:pt idx="13">
                  <c:v>2352.31</c:v>
                </c:pt>
                <c:pt idx="14">
                  <c:v>2321.9299999999998</c:v>
                </c:pt>
                <c:pt idx="15">
                  <c:v>2321.9299999999998</c:v>
                </c:pt>
                <c:pt idx="16">
                  <c:v>2321.9299999999998</c:v>
                </c:pt>
                <c:pt idx="17">
                  <c:v>2321.9299999999998</c:v>
                </c:pt>
                <c:pt idx="18">
                  <c:v>2321.9299999999998</c:v>
                </c:pt>
                <c:pt idx="19">
                  <c:v>4314.8500000000004</c:v>
                </c:pt>
                <c:pt idx="20">
                  <c:v>2321.9299999999998</c:v>
                </c:pt>
                <c:pt idx="21">
                  <c:v>2461.62</c:v>
                </c:pt>
                <c:pt idx="22">
                  <c:v>2461.62</c:v>
                </c:pt>
                <c:pt idx="23">
                  <c:v>2459.2800000000002</c:v>
                </c:pt>
                <c:pt idx="24">
                  <c:v>2459.2800000000002</c:v>
                </c:pt>
                <c:pt idx="25">
                  <c:v>2474.0100000000002</c:v>
                </c:pt>
                <c:pt idx="26">
                  <c:v>2474.0100000000002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E-4EB0-9A4E-2D213EC27885}"/>
            </c:ext>
          </c:extLst>
        </c:ser>
        <c:ser>
          <c:idx val="1"/>
          <c:order val="1"/>
          <c:tx>
            <c:strRef>
              <c:f>'Processed Data'!$E$2</c:f>
              <c:strCache>
                <c:ptCount val="1"/>
                <c:pt idx="0">
                  <c:v>CPP Premium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'Processed Data'!$B$3:$B$29</c:f>
              <c:strCache>
                <c:ptCount val="27"/>
                <c:pt idx="0">
                  <c:v>134</c:v>
                </c:pt>
                <c:pt idx="1">
                  <c:v>135</c:v>
                </c:pt>
                <c:pt idx="2">
                  <c:v>136</c:v>
                </c:pt>
                <c:pt idx="3">
                  <c:v>137</c:v>
                </c:pt>
                <c:pt idx="4">
                  <c:v>138</c:v>
                </c:pt>
                <c:pt idx="5">
                  <c:v>139</c:v>
                </c:pt>
                <c:pt idx="6">
                  <c:v>140</c:v>
                </c:pt>
                <c:pt idx="7">
                  <c:v>141</c:v>
                </c:pt>
                <c:pt idx="8">
                  <c:v>142</c:v>
                </c:pt>
                <c:pt idx="9">
                  <c:v>143</c:v>
                </c:pt>
                <c:pt idx="10">
                  <c:v>144</c:v>
                </c:pt>
                <c:pt idx="11">
                  <c:v>145</c:v>
                </c:pt>
                <c:pt idx="12">
                  <c:v>146</c:v>
                </c:pt>
                <c:pt idx="13">
                  <c:v>147</c:v>
                </c:pt>
                <c:pt idx="14">
                  <c:v>148</c:v>
                </c:pt>
                <c:pt idx="15">
                  <c:v>149</c:v>
                </c:pt>
                <c:pt idx="16">
                  <c:v>150</c:v>
                </c:pt>
                <c:pt idx="17">
                  <c:v>151</c:v>
                </c:pt>
                <c:pt idx="18">
                  <c:v>152</c:v>
                </c:pt>
                <c:pt idx="19">
                  <c:v>152</c:v>
                </c:pt>
                <c:pt idx="20">
                  <c:v>153</c:v>
                </c:pt>
                <c:pt idx="21">
                  <c:v>154</c:v>
                </c:pt>
                <c:pt idx="22">
                  <c:v>155</c:v>
                </c:pt>
                <c:pt idx="23">
                  <c:v>156</c:v>
                </c:pt>
                <c:pt idx="24">
                  <c:v>157</c:v>
                </c:pt>
                <c:pt idx="25">
                  <c:v>158</c:v>
                </c:pt>
                <c:pt idx="26">
                  <c:v>159</c:v>
                </c:pt>
              </c:strCache>
            </c:strRef>
          </c:cat>
          <c:val>
            <c:numRef>
              <c:f>'Processed Data'!$E$3:$E$29</c:f>
              <c:numCache>
                <c:formatCode>"$"#,##0.00</c:formatCode>
                <c:ptCount val="27"/>
                <c:pt idx="0">
                  <c:v>193.3</c:v>
                </c:pt>
                <c:pt idx="1">
                  <c:v>193.3</c:v>
                </c:pt>
                <c:pt idx="2">
                  <c:v>192.69</c:v>
                </c:pt>
                <c:pt idx="3">
                  <c:v>161.84</c:v>
                </c:pt>
                <c:pt idx="4">
                  <c:v>118.73</c:v>
                </c:pt>
                <c:pt idx="5">
                  <c:v>69.27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193.27</c:v>
                </c:pt>
                <c:pt idx="12">
                  <c:v>193.27</c:v>
                </c:pt>
                <c:pt idx="13">
                  <c:v>192.69</c:v>
                </c:pt>
                <c:pt idx="14">
                  <c:v>193.27</c:v>
                </c:pt>
                <c:pt idx="15">
                  <c:v>193.27</c:v>
                </c:pt>
                <c:pt idx="16">
                  <c:v>193.27</c:v>
                </c:pt>
                <c:pt idx="17">
                  <c:v>193.27</c:v>
                </c:pt>
                <c:pt idx="18">
                  <c:v>193.27</c:v>
                </c:pt>
                <c:pt idx="19">
                  <c:v>417.69</c:v>
                </c:pt>
                <c:pt idx="20">
                  <c:v>193.27</c:v>
                </c:pt>
                <c:pt idx="21">
                  <c:v>207.23</c:v>
                </c:pt>
                <c:pt idx="22">
                  <c:v>207.23</c:v>
                </c:pt>
                <c:pt idx="23">
                  <c:v>207.23</c:v>
                </c:pt>
                <c:pt idx="24">
                  <c:v>207.23</c:v>
                </c:pt>
                <c:pt idx="25">
                  <c:v>207.23</c:v>
                </c:pt>
                <c:pt idx="26">
                  <c:v>207.23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DE-4EB0-9A4E-2D213EC27885}"/>
            </c:ext>
          </c:extLst>
        </c:ser>
        <c:ser>
          <c:idx val="2"/>
          <c:order val="2"/>
          <c:tx>
            <c:strRef>
              <c:f>'Processed Data'!$F$2</c:f>
              <c:strCache>
                <c:ptCount val="1"/>
                <c:pt idx="0">
                  <c:v>EI Premium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'Processed Data'!$B$3:$B$29</c:f>
              <c:strCache>
                <c:ptCount val="27"/>
                <c:pt idx="0">
                  <c:v>134</c:v>
                </c:pt>
                <c:pt idx="1">
                  <c:v>135</c:v>
                </c:pt>
                <c:pt idx="2">
                  <c:v>136</c:v>
                </c:pt>
                <c:pt idx="3">
                  <c:v>137</c:v>
                </c:pt>
                <c:pt idx="4">
                  <c:v>138</c:v>
                </c:pt>
                <c:pt idx="5">
                  <c:v>139</c:v>
                </c:pt>
                <c:pt idx="6">
                  <c:v>140</c:v>
                </c:pt>
                <c:pt idx="7">
                  <c:v>141</c:v>
                </c:pt>
                <c:pt idx="8">
                  <c:v>142</c:v>
                </c:pt>
                <c:pt idx="9">
                  <c:v>143</c:v>
                </c:pt>
                <c:pt idx="10">
                  <c:v>144</c:v>
                </c:pt>
                <c:pt idx="11">
                  <c:v>145</c:v>
                </c:pt>
                <c:pt idx="12">
                  <c:v>146</c:v>
                </c:pt>
                <c:pt idx="13">
                  <c:v>147</c:v>
                </c:pt>
                <c:pt idx="14">
                  <c:v>148</c:v>
                </c:pt>
                <c:pt idx="15">
                  <c:v>149</c:v>
                </c:pt>
                <c:pt idx="16">
                  <c:v>150</c:v>
                </c:pt>
                <c:pt idx="17">
                  <c:v>151</c:v>
                </c:pt>
                <c:pt idx="18">
                  <c:v>152</c:v>
                </c:pt>
                <c:pt idx="19">
                  <c:v>152</c:v>
                </c:pt>
                <c:pt idx="20">
                  <c:v>153</c:v>
                </c:pt>
                <c:pt idx="21">
                  <c:v>154</c:v>
                </c:pt>
                <c:pt idx="22">
                  <c:v>155</c:v>
                </c:pt>
                <c:pt idx="23">
                  <c:v>156</c:v>
                </c:pt>
                <c:pt idx="24">
                  <c:v>157</c:v>
                </c:pt>
                <c:pt idx="25">
                  <c:v>158</c:v>
                </c:pt>
                <c:pt idx="26">
                  <c:v>159</c:v>
                </c:pt>
              </c:strCache>
            </c:strRef>
          </c:cat>
          <c:val>
            <c:numRef>
              <c:f>'Processed Data'!$F$3:$F$29</c:f>
              <c:numCache>
                <c:formatCode>"$"#,##0.00</c:formatCode>
                <c:ptCount val="27"/>
                <c:pt idx="0">
                  <c:v>55.99</c:v>
                </c:pt>
                <c:pt idx="1">
                  <c:v>55.99</c:v>
                </c:pt>
                <c:pt idx="2">
                  <c:v>33.82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55.99</c:v>
                </c:pt>
                <c:pt idx="12">
                  <c:v>55.32</c:v>
                </c:pt>
                <c:pt idx="13">
                  <c:v>55.32</c:v>
                </c:pt>
                <c:pt idx="14">
                  <c:v>55.32</c:v>
                </c:pt>
                <c:pt idx="15">
                  <c:v>55.32</c:v>
                </c:pt>
                <c:pt idx="16">
                  <c:v>55.32</c:v>
                </c:pt>
                <c:pt idx="17">
                  <c:v>55.32</c:v>
                </c:pt>
                <c:pt idx="18">
                  <c:v>55.32</c:v>
                </c:pt>
                <c:pt idx="19">
                  <c:v>115.13</c:v>
                </c:pt>
                <c:pt idx="20">
                  <c:v>55.32</c:v>
                </c:pt>
                <c:pt idx="21">
                  <c:v>59.17</c:v>
                </c:pt>
                <c:pt idx="22">
                  <c:v>59.17</c:v>
                </c:pt>
                <c:pt idx="23">
                  <c:v>59.17</c:v>
                </c:pt>
                <c:pt idx="24">
                  <c:v>59.17</c:v>
                </c:pt>
                <c:pt idx="25">
                  <c:v>59.17</c:v>
                </c:pt>
                <c:pt idx="26">
                  <c:v>59.17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DE-4EB0-9A4E-2D213EC27885}"/>
            </c:ext>
          </c:extLst>
        </c:ser>
        <c:ser>
          <c:idx val="3"/>
          <c:order val="3"/>
          <c:tx>
            <c:strRef>
              <c:f>'Processed Data'!$G$2</c:f>
              <c:strCache>
                <c:ptCount val="1"/>
                <c:pt idx="0">
                  <c:v>Federal Tax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'Processed Data'!$B$3:$B$29</c:f>
              <c:strCache>
                <c:ptCount val="27"/>
                <c:pt idx="0">
                  <c:v>134</c:v>
                </c:pt>
                <c:pt idx="1">
                  <c:v>135</c:v>
                </c:pt>
                <c:pt idx="2">
                  <c:v>136</c:v>
                </c:pt>
                <c:pt idx="3">
                  <c:v>137</c:v>
                </c:pt>
                <c:pt idx="4">
                  <c:v>138</c:v>
                </c:pt>
                <c:pt idx="5">
                  <c:v>139</c:v>
                </c:pt>
                <c:pt idx="6">
                  <c:v>140</c:v>
                </c:pt>
                <c:pt idx="7">
                  <c:v>141</c:v>
                </c:pt>
                <c:pt idx="8">
                  <c:v>142</c:v>
                </c:pt>
                <c:pt idx="9">
                  <c:v>143</c:v>
                </c:pt>
                <c:pt idx="10">
                  <c:v>144</c:v>
                </c:pt>
                <c:pt idx="11">
                  <c:v>145</c:v>
                </c:pt>
                <c:pt idx="12">
                  <c:v>146</c:v>
                </c:pt>
                <c:pt idx="13">
                  <c:v>147</c:v>
                </c:pt>
                <c:pt idx="14">
                  <c:v>148</c:v>
                </c:pt>
                <c:pt idx="15">
                  <c:v>149</c:v>
                </c:pt>
                <c:pt idx="16">
                  <c:v>150</c:v>
                </c:pt>
                <c:pt idx="17">
                  <c:v>151</c:v>
                </c:pt>
                <c:pt idx="18">
                  <c:v>152</c:v>
                </c:pt>
                <c:pt idx="19">
                  <c:v>152</c:v>
                </c:pt>
                <c:pt idx="20">
                  <c:v>153</c:v>
                </c:pt>
                <c:pt idx="21">
                  <c:v>154</c:v>
                </c:pt>
                <c:pt idx="22">
                  <c:v>155</c:v>
                </c:pt>
                <c:pt idx="23">
                  <c:v>156</c:v>
                </c:pt>
                <c:pt idx="24">
                  <c:v>157</c:v>
                </c:pt>
                <c:pt idx="25">
                  <c:v>158</c:v>
                </c:pt>
                <c:pt idx="26">
                  <c:v>159</c:v>
                </c:pt>
              </c:strCache>
            </c:strRef>
          </c:cat>
          <c:val>
            <c:numRef>
              <c:f>'Processed Data'!$G$3:$G$29</c:f>
              <c:numCache>
                <c:formatCode>"$"#,##0.00</c:formatCode>
                <c:ptCount val="27"/>
                <c:pt idx="0">
                  <c:v>617.20000000000005</c:v>
                </c:pt>
                <c:pt idx="1">
                  <c:v>617.20000000000005</c:v>
                </c:pt>
                <c:pt idx="2">
                  <c:v>614.19000000000005</c:v>
                </c:pt>
                <c:pt idx="3">
                  <c:v>618.61</c:v>
                </c:pt>
                <c:pt idx="4">
                  <c:v>591.47</c:v>
                </c:pt>
                <c:pt idx="5">
                  <c:v>606.14</c:v>
                </c:pt>
                <c:pt idx="6">
                  <c:v>626.66999999999996</c:v>
                </c:pt>
                <c:pt idx="7">
                  <c:v>626.66999999999996</c:v>
                </c:pt>
                <c:pt idx="8">
                  <c:v>745.99</c:v>
                </c:pt>
                <c:pt idx="9">
                  <c:v>626.66999999999996</c:v>
                </c:pt>
                <c:pt idx="10">
                  <c:v>626.66999999999996</c:v>
                </c:pt>
                <c:pt idx="11">
                  <c:v>617.04</c:v>
                </c:pt>
                <c:pt idx="12">
                  <c:v>606.95000000000005</c:v>
                </c:pt>
                <c:pt idx="13">
                  <c:v>604.1</c:v>
                </c:pt>
                <c:pt idx="14">
                  <c:v>606.95000000000005</c:v>
                </c:pt>
                <c:pt idx="15">
                  <c:v>606.95000000000005</c:v>
                </c:pt>
                <c:pt idx="16">
                  <c:v>606.95000000000005</c:v>
                </c:pt>
                <c:pt idx="17">
                  <c:v>606.95000000000005</c:v>
                </c:pt>
                <c:pt idx="18">
                  <c:v>606.95000000000005</c:v>
                </c:pt>
                <c:pt idx="19">
                  <c:v>2172.33</c:v>
                </c:pt>
                <c:pt idx="20">
                  <c:v>606.95000000000005</c:v>
                </c:pt>
                <c:pt idx="21">
                  <c:v>672.34</c:v>
                </c:pt>
                <c:pt idx="22">
                  <c:v>672.34</c:v>
                </c:pt>
                <c:pt idx="23">
                  <c:v>672.34</c:v>
                </c:pt>
                <c:pt idx="24">
                  <c:v>672.34</c:v>
                </c:pt>
                <c:pt idx="25">
                  <c:v>658.78</c:v>
                </c:pt>
                <c:pt idx="26">
                  <c:v>658.78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DE-4EB0-9A4E-2D213EC27885}"/>
            </c:ext>
          </c:extLst>
        </c:ser>
        <c:ser>
          <c:idx val="4"/>
          <c:order val="4"/>
          <c:tx>
            <c:strRef>
              <c:f>'Processed Data'!$H$2</c:f>
              <c:strCache>
                <c:ptCount val="1"/>
                <c:pt idx="0">
                  <c:v>Group Insurance Premium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'Processed Data'!$B$3:$B$29</c:f>
              <c:strCache>
                <c:ptCount val="27"/>
                <c:pt idx="0">
                  <c:v>134</c:v>
                </c:pt>
                <c:pt idx="1">
                  <c:v>135</c:v>
                </c:pt>
                <c:pt idx="2">
                  <c:v>136</c:v>
                </c:pt>
                <c:pt idx="3">
                  <c:v>137</c:v>
                </c:pt>
                <c:pt idx="4">
                  <c:v>138</c:v>
                </c:pt>
                <c:pt idx="5">
                  <c:v>139</c:v>
                </c:pt>
                <c:pt idx="6">
                  <c:v>140</c:v>
                </c:pt>
                <c:pt idx="7">
                  <c:v>141</c:v>
                </c:pt>
                <c:pt idx="8">
                  <c:v>142</c:v>
                </c:pt>
                <c:pt idx="9">
                  <c:v>143</c:v>
                </c:pt>
                <c:pt idx="10">
                  <c:v>144</c:v>
                </c:pt>
                <c:pt idx="11">
                  <c:v>145</c:v>
                </c:pt>
                <c:pt idx="12">
                  <c:v>146</c:v>
                </c:pt>
                <c:pt idx="13">
                  <c:v>147</c:v>
                </c:pt>
                <c:pt idx="14">
                  <c:v>148</c:v>
                </c:pt>
                <c:pt idx="15">
                  <c:v>149</c:v>
                </c:pt>
                <c:pt idx="16">
                  <c:v>150</c:v>
                </c:pt>
                <c:pt idx="17">
                  <c:v>151</c:v>
                </c:pt>
                <c:pt idx="18">
                  <c:v>152</c:v>
                </c:pt>
                <c:pt idx="19">
                  <c:v>152</c:v>
                </c:pt>
                <c:pt idx="20">
                  <c:v>153</c:v>
                </c:pt>
                <c:pt idx="21">
                  <c:v>154</c:v>
                </c:pt>
                <c:pt idx="22">
                  <c:v>155</c:v>
                </c:pt>
                <c:pt idx="23">
                  <c:v>156</c:v>
                </c:pt>
                <c:pt idx="24">
                  <c:v>157</c:v>
                </c:pt>
                <c:pt idx="25">
                  <c:v>158</c:v>
                </c:pt>
                <c:pt idx="26">
                  <c:v>159</c:v>
                </c:pt>
              </c:strCache>
            </c:strRef>
          </c:cat>
          <c:val>
            <c:numRef>
              <c:f>'Processed Data'!$H$3:$H$29</c:f>
              <c:numCache>
                <c:formatCode>"$"#,##0.00</c:formatCode>
                <c:ptCount val="27"/>
                <c:pt idx="0">
                  <c:v>6.67</c:v>
                </c:pt>
                <c:pt idx="1">
                  <c:v>6.67</c:v>
                </c:pt>
                <c:pt idx="2">
                  <c:v>0</c:v>
                </c:pt>
                <c:pt idx="3">
                  <c:v>6.67</c:v>
                </c:pt>
                <c:pt idx="4">
                  <c:v>7.72</c:v>
                </c:pt>
                <c:pt idx="5">
                  <c:v>7.02</c:v>
                </c:pt>
                <c:pt idx="6">
                  <c:v>7.02</c:v>
                </c:pt>
                <c:pt idx="7">
                  <c:v>7.02</c:v>
                </c:pt>
                <c:pt idx="8">
                  <c:v>7.02</c:v>
                </c:pt>
                <c:pt idx="9">
                  <c:v>7.02</c:v>
                </c:pt>
                <c:pt idx="10">
                  <c:v>7.02</c:v>
                </c:pt>
                <c:pt idx="11">
                  <c:v>7.02</c:v>
                </c:pt>
                <c:pt idx="12">
                  <c:v>7.02</c:v>
                </c:pt>
                <c:pt idx="13">
                  <c:v>0</c:v>
                </c:pt>
                <c:pt idx="14">
                  <c:v>7.02</c:v>
                </c:pt>
                <c:pt idx="15">
                  <c:v>7.02</c:v>
                </c:pt>
                <c:pt idx="16">
                  <c:v>7.02</c:v>
                </c:pt>
                <c:pt idx="17">
                  <c:v>7.02</c:v>
                </c:pt>
                <c:pt idx="18">
                  <c:v>7.02</c:v>
                </c:pt>
                <c:pt idx="19">
                  <c:v>0</c:v>
                </c:pt>
                <c:pt idx="20">
                  <c:v>7.02</c:v>
                </c:pt>
                <c:pt idx="21">
                  <c:v>7.02</c:v>
                </c:pt>
                <c:pt idx="22">
                  <c:v>7.02</c:v>
                </c:pt>
                <c:pt idx="23">
                  <c:v>7.02</c:v>
                </c:pt>
                <c:pt idx="24">
                  <c:v>7.02</c:v>
                </c:pt>
                <c:pt idx="25">
                  <c:v>7.02</c:v>
                </c:pt>
                <c:pt idx="26">
                  <c:v>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DE-4EB0-9A4E-2D213EC27885}"/>
            </c:ext>
          </c:extLst>
        </c:ser>
        <c:ser>
          <c:idx val="5"/>
          <c:order val="5"/>
          <c:tx>
            <c:strRef>
              <c:f>'Processed Data'!$I$2</c:f>
              <c:strCache>
                <c:ptCount val="1"/>
                <c:pt idx="0">
                  <c:v>Insurance - L.T.D Premium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'Processed Data'!$B$3:$B$29</c:f>
              <c:strCache>
                <c:ptCount val="27"/>
                <c:pt idx="0">
                  <c:v>134</c:v>
                </c:pt>
                <c:pt idx="1">
                  <c:v>135</c:v>
                </c:pt>
                <c:pt idx="2">
                  <c:v>136</c:v>
                </c:pt>
                <c:pt idx="3">
                  <c:v>137</c:v>
                </c:pt>
                <c:pt idx="4">
                  <c:v>138</c:v>
                </c:pt>
                <c:pt idx="5">
                  <c:v>139</c:v>
                </c:pt>
                <c:pt idx="6">
                  <c:v>140</c:v>
                </c:pt>
                <c:pt idx="7">
                  <c:v>141</c:v>
                </c:pt>
                <c:pt idx="8">
                  <c:v>142</c:v>
                </c:pt>
                <c:pt idx="9">
                  <c:v>143</c:v>
                </c:pt>
                <c:pt idx="10">
                  <c:v>144</c:v>
                </c:pt>
                <c:pt idx="11">
                  <c:v>145</c:v>
                </c:pt>
                <c:pt idx="12">
                  <c:v>146</c:v>
                </c:pt>
                <c:pt idx="13">
                  <c:v>147</c:v>
                </c:pt>
                <c:pt idx="14">
                  <c:v>148</c:v>
                </c:pt>
                <c:pt idx="15">
                  <c:v>149</c:v>
                </c:pt>
                <c:pt idx="16">
                  <c:v>150</c:v>
                </c:pt>
                <c:pt idx="17">
                  <c:v>151</c:v>
                </c:pt>
                <c:pt idx="18">
                  <c:v>152</c:v>
                </c:pt>
                <c:pt idx="19">
                  <c:v>152</c:v>
                </c:pt>
                <c:pt idx="20">
                  <c:v>153</c:v>
                </c:pt>
                <c:pt idx="21">
                  <c:v>154</c:v>
                </c:pt>
                <c:pt idx="22">
                  <c:v>155</c:v>
                </c:pt>
                <c:pt idx="23">
                  <c:v>156</c:v>
                </c:pt>
                <c:pt idx="24">
                  <c:v>157</c:v>
                </c:pt>
                <c:pt idx="25">
                  <c:v>158</c:v>
                </c:pt>
                <c:pt idx="26">
                  <c:v>159</c:v>
                </c:pt>
              </c:strCache>
            </c:strRef>
          </c:cat>
          <c:val>
            <c:numRef>
              <c:f>'Processed Data'!$I$3:$I$29</c:f>
              <c:numCache>
                <c:formatCode>"$"#,##0.00</c:formatCode>
                <c:ptCount val="27"/>
                <c:pt idx="0">
                  <c:v>18.760000000000002</c:v>
                </c:pt>
                <c:pt idx="1">
                  <c:v>18.760000000000002</c:v>
                </c:pt>
                <c:pt idx="2">
                  <c:v>0</c:v>
                </c:pt>
                <c:pt idx="3">
                  <c:v>19.93</c:v>
                </c:pt>
                <c:pt idx="4">
                  <c:v>19.93</c:v>
                </c:pt>
                <c:pt idx="5">
                  <c:v>19.93</c:v>
                </c:pt>
                <c:pt idx="6">
                  <c:v>19.93</c:v>
                </c:pt>
                <c:pt idx="7">
                  <c:v>19.93</c:v>
                </c:pt>
                <c:pt idx="8">
                  <c:v>19.93</c:v>
                </c:pt>
                <c:pt idx="9">
                  <c:v>19.93</c:v>
                </c:pt>
                <c:pt idx="10">
                  <c:v>19.93</c:v>
                </c:pt>
                <c:pt idx="11">
                  <c:v>19.93</c:v>
                </c:pt>
                <c:pt idx="12">
                  <c:v>19.93</c:v>
                </c:pt>
                <c:pt idx="13">
                  <c:v>0</c:v>
                </c:pt>
                <c:pt idx="14">
                  <c:v>19.93</c:v>
                </c:pt>
                <c:pt idx="15">
                  <c:v>19.93</c:v>
                </c:pt>
                <c:pt idx="16">
                  <c:v>19.93</c:v>
                </c:pt>
                <c:pt idx="17">
                  <c:v>19.93</c:v>
                </c:pt>
                <c:pt idx="18">
                  <c:v>19.93</c:v>
                </c:pt>
                <c:pt idx="19">
                  <c:v>0</c:v>
                </c:pt>
                <c:pt idx="20">
                  <c:v>19.93</c:v>
                </c:pt>
                <c:pt idx="21">
                  <c:v>19.93</c:v>
                </c:pt>
                <c:pt idx="22">
                  <c:v>19.93</c:v>
                </c:pt>
                <c:pt idx="23">
                  <c:v>22.27</c:v>
                </c:pt>
                <c:pt idx="24">
                  <c:v>22.27</c:v>
                </c:pt>
                <c:pt idx="25">
                  <c:v>21.1</c:v>
                </c:pt>
                <c:pt idx="26">
                  <c:v>21.1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DE-4EB0-9A4E-2D213EC27885}"/>
            </c:ext>
          </c:extLst>
        </c:ser>
        <c:ser>
          <c:idx val="6"/>
          <c:order val="6"/>
          <c:tx>
            <c:strRef>
              <c:f>'Processed Data'!$J$2</c:f>
              <c:strCache>
                <c:ptCount val="1"/>
                <c:pt idx="0">
                  <c:v>RRSP - EE 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'Processed Data'!$B$3:$B$29</c:f>
              <c:strCache>
                <c:ptCount val="27"/>
                <c:pt idx="0">
                  <c:v>134</c:v>
                </c:pt>
                <c:pt idx="1">
                  <c:v>135</c:v>
                </c:pt>
                <c:pt idx="2">
                  <c:v>136</c:v>
                </c:pt>
                <c:pt idx="3">
                  <c:v>137</c:v>
                </c:pt>
                <c:pt idx="4">
                  <c:v>138</c:v>
                </c:pt>
                <c:pt idx="5">
                  <c:v>139</c:v>
                </c:pt>
                <c:pt idx="6">
                  <c:v>140</c:v>
                </c:pt>
                <c:pt idx="7">
                  <c:v>141</c:v>
                </c:pt>
                <c:pt idx="8">
                  <c:v>142</c:v>
                </c:pt>
                <c:pt idx="9">
                  <c:v>143</c:v>
                </c:pt>
                <c:pt idx="10">
                  <c:v>144</c:v>
                </c:pt>
                <c:pt idx="11">
                  <c:v>145</c:v>
                </c:pt>
                <c:pt idx="12">
                  <c:v>146</c:v>
                </c:pt>
                <c:pt idx="13">
                  <c:v>147</c:v>
                </c:pt>
                <c:pt idx="14">
                  <c:v>148</c:v>
                </c:pt>
                <c:pt idx="15">
                  <c:v>149</c:v>
                </c:pt>
                <c:pt idx="16">
                  <c:v>150</c:v>
                </c:pt>
                <c:pt idx="17">
                  <c:v>151</c:v>
                </c:pt>
                <c:pt idx="18">
                  <c:v>152</c:v>
                </c:pt>
                <c:pt idx="19">
                  <c:v>152</c:v>
                </c:pt>
                <c:pt idx="20">
                  <c:v>153</c:v>
                </c:pt>
                <c:pt idx="21">
                  <c:v>154</c:v>
                </c:pt>
                <c:pt idx="22">
                  <c:v>155</c:v>
                </c:pt>
                <c:pt idx="23">
                  <c:v>156</c:v>
                </c:pt>
                <c:pt idx="24">
                  <c:v>157</c:v>
                </c:pt>
                <c:pt idx="25">
                  <c:v>158</c:v>
                </c:pt>
                <c:pt idx="26">
                  <c:v>159</c:v>
                </c:pt>
              </c:strCache>
            </c:strRef>
          </c:cat>
          <c:val>
            <c:numRef>
              <c:f>'Processed Data'!$J$3:$J$29</c:f>
              <c:numCache>
                <c:formatCode>"$"#,##0.00</c:formatCode>
                <c:ptCount val="27"/>
                <c:pt idx="0">
                  <c:v>168.65</c:v>
                </c:pt>
                <c:pt idx="1">
                  <c:v>168.65</c:v>
                </c:pt>
                <c:pt idx="2">
                  <c:v>168.65</c:v>
                </c:pt>
                <c:pt idx="3">
                  <c:v>168.65</c:v>
                </c:pt>
                <c:pt idx="4">
                  <c:v>168.65</c:v>
                </c:pt>
                <c:pt idx="5">
                  <c:v>168.65</c:v>
                </c:pt>
                <c:pt idx="6">
                  <c:v>168.65</c:v>
                </c:pt>
                <c:pt idx="7">
                  <c:v>168.65</c:v>
                </c:pt>
                <c:pt idx="8">
                  <c:v>168.65</c:v>
                </c:pt>
                <c:pt idx="9">
                  <c:v>168.65</c:v>
                </c:pt>
                <c:pt idx="10">
                  <c:v>168.65</c:v>
                </c:pt>
                <c:pt idx="11">
                  <c:v>168.65</c:v>
                </c:pt>
                <c:pt idx="12">
                  <c:v>168.65</c:v>
                </c:pt>
                <c:pt idx="13">
                  <c:v>168.65</c:v>
                </c:pt>
                <c:pt idx="14">
                  <c:v>168.65</c:v>
                </c:pt>
                <c:pt idx="15">
                  <c:v>168.65</c:v>
                </c:pt>
                <c:pt idx="16">
                  <c:v>168.65</c:v>
                </c:pt>
                <c:pt idx="17">
                  <c:v>168.65</c:v>
                </c:pt>
                <c:pt idx="18">
                  <c:v>168.65</c:v>
                </c:pt>
                <c:pt idx="19">
                  <c:v>0</c:v>
                </c:pt>
                <c:pt idx="20">
                  <c:v>168.65</c:v>
                </c:pt>
                <c:pt idx="21">
                  <c:v>180.38</c:v>
                </c:pt>
                <c:pt idx="22">
                  <c:v>180.38</c:v>
                </c:pt>
                <c:pt idx="23">
                  <c:v>180.38</c:v>
                </c:pt>
                <c:pt idx="24">
                  <c:v>180.38</c:v>
                </c:pt>
                <c:pt idx="25">
                  <c:v>180.38</c:v>
                </c:pt>
                <c:pt idx="26">
                  <c:v>180.38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DE-4EB0-9A4E-2D213EC27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4534863"/>
        <c:axId val="734527183"/>
      </c:barChart>
      <c:catAx>
        <c:axId val="73453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Paystub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27183"/>
        <c:crosses val="autoZero"/>
        <c:auto val="1"/>
        <c:lblAlgn val="ctr"/>
        <c:lblOffset val="100"/>
        <c:noMultiLvlLbl val="0"/>
      </c:catAx>
      <c:valAx>
        <c:axId val="73452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Earnings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34863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Payroll</a:t>
            </a:r>
            <a:r>
              <a:rPr lang="en-US" baseline="0"/>
              <a:t> Deductions</a:t>
            </a:r>
            <a:endParaRPr lang="en-US"/>
          </a:p>
        </c:rich>
      </c:tx>
      <c:layout>
        <c:manualLayout>
          <c:xMode val="edge"/>
          <c:yMode val="edge"/>
          <c:x val="0.38002947859129538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16-40C8-8A4F-EBC4C60C10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16-40C8-8A4F-EBC4C60C10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16-40C8-8A4F-EBC4C60C10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916-40C8-8A4F-EBC4C60C10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916-40C8-8A4F-EBC4C60C10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916-40C8-8A4F-EBC4C60C10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916-40C8-8A4F-EBC4C60C101F}"/>
              </c:ext>
            </c:extLst>
          </c:dPt>
          <c:dLbls>
            <c:dLbl>
              <c:idx val="0"/>
              <c:layout>
                <c:manualLayout>
                  <c:x val="-0.18455373232263877"/>
                  <c:y val="-0.12890172784129539"/>
                </c:manualLayout>
              </c:layout>
              <c:numFmt formatCode="0.00%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16-40C8-8A4F-EBC4C60C101F}"/>
                </c:ext>
              </c:extLst>
            </c:dLbl>
            <c:dLbl>
              <c:idx val="3"/>
              <c:layout>
                <c:manualLayout>
                  <c:x val="0.17677226564030243"/>
                  <c:y val="0.12496878292690194"/>
                </c:manualLayout>
              </c:layout>
              <c:numFmt formatCode="0.00%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16-40C8-8A4F-EBC4C60C101F}"/>
                </c:ext>
              </c:extLst>
            </c:dLbl>
            <c:dLbl>
              <c:idx val="4"/>
              <c:layout>
                <c:manualLayout>
                  <c:x val="-9.9502487562189074E-2"/>
                  <c:y val="9.1096972011625477E-2"/>
                </c:manualLayout>
              </c:layout>
              <c:numFmt formatCode="0.00%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2727457691855682"/>
                      <c:h val="0.137392500859993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916-40C8-8A4F-EBC4C60C101F}"/>
                </c:ext>
              </c:extLst>
            </c:dLbl>
            <c:dLbl>
              <c:idx val="5"/>
              <c:layout>
                <c:manualLayout>
                  <c:x val="-3.8322413522936499E-2"/>
                  <c:y val="-4.56990863758129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16-40C8-8A4F-EBC4C60C101F}"/>
                </c:ext>
              </c:extLst>
            </c:dLbl>
            <c:dLbl>
              <c:idx val="6"/>
              <c:layout>
                <c:manualLayout>
                  <c:x val="0.16122230873193083"/>
                  <c:y val="-7.261321436987559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916-40C8-8A4F-EBC4C60C101F}"/>
                </c:ext>
              </c:extLst>
            </c:dLbl>
            <c:numFmt formatCode="0.0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'Processed Data'!$D$2:$J$2</c:f>
              <c:strCache>
                <c:ptCount val="7"/>
                <c:pt idx="0">
                  <c:v>Net Pay</c:v>
                </c:pt>
                <c:pt idx="1">
                  <c:v>CPP Premium</c:v>
                </c:pt>
                <c:pt idx="2">
                  <c:v>EI Premium</c:v>
                </c:pt>
                <c:pt idx="3">
                  <c:v>Federal Tax</c:v>
                </c:pt>
                <c:pt idx="4">
                  <c:v>Group Insurance Premium</c:v>
                </c:pt>
                <c:pt idx="5">
                  <c:v>Insurance - L.T.D Premium</c:v>
                </c:pt>
                <c:pt idx="6">
                  <c:v>RRSP - EE %</c:v>
                </c:pt>
              </c:strCache>
            </c:strRef>
          </c:cat>
          <c:val>
            <c:numRef>
              <c:f>'Processed Data'!$D$1:$J$1</c:f>
              <c:numCache>
                <c:formatCode>"$"#,##0.00</c:formatCode>
                <c:ptCount val="7"/>
                <c:pt idx="0">
                  <c:v>67411.06</c:v>
                </c:pt>
                <c:pt idx="1">
                  <c:v>4329.0499999999993</c:v>
                </c:pt>
                <c:pt idx="2">
                  <c:v>1114.5</c:v>
                </c:pt>
                <c:pt idx="3">
                  <c:v>18566.52</c:v>
                </c:pt>
                <c:pt idx="4">
                  <c:v>168.13</c:v>
                </c:pt>
                <c:pt idx="5">
                  <c:v>483.00000000000011</c:v>
                </c:pt>
                <c:pt idx="6">
                  <c:v>4455.2800000000016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916-40C8-8A4F-EBC4C60C10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0</xdr:row>
      <xdr:rowOff>129540</xdr:rowOff>
    </xdr:from>
    <xdr:to>
      <xdr:col>10</xdr:col>
      <xdr:colOff>22860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213360</xdr:colOff>
      <xdr:row>1</xdr:row>
      <xdr:rowOff>57150</xdr:rowOff>
    </xdr:from>
    <xdr:to>
      <xdr:col>16</xdr:col>
      <xdr:colOff>457200</xdr:colOff>
      <xdr:row>21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28"/>
  <sheetViews>
    <sheetView topLeftCell="BK1" workbookViewId="0">
      <selection activeCell="BQ10" sqref="BQ10"/>
    </sheetView>
  </sheetViews>
  <sheetFormatPr defaultRowHeight="14.4" x14ac:dyDescent="0.55000000000000004"/>
  <sheetData>
    <row r="1" spans="1:178" x14ac:dyDescent="0.5500000000000000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</row>
    <row r="2" spans="1:178" x14ac:dyDescent="0.55000000000000004">
      <c r="A2" t="s">
        <v>178</v>
      </c>
      <c r="B2">
        <v>16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>
        <v>2312.5</v>
      </c>
      <c r="J2" t="s">
        <v>185</v>
      </c>
      <c r="K2" s="6">
        <v>45486</v>
      </c>
      <c r="L2" s="6">
        <v>45499</v>
      </c>
      <c r="M2" t="s">
        <v>186</v>
      </c>
      <c r="N2" s="6">
        <v>45506</v>
      </c>
      <c r="O2" t="s">
        <v>187</v>
      </c>
      <c r="P2">
        <v>0</v>
      </c>
      <c r="Q2">
        <v>0</v>
      </c>
      <c r="R2">
        <v>0</v>
      </c>
      <c r="S2">
        <v>5000</v>
      </c>
      <c r="T2" t="s">
        <v>188</v>
      </c>
      <c r="U2">
        <v>80</v>
      </c>
      <c r="V2">
        <v>42.16</v>
      </c>
      <c r="W2">
        <v>3373.07</v>
      </c>
      <c r="X2">
        <v>52792.28</v>
      </c>
      <c r="BM2" t="s">
        <v>189</v>
      </c>
      <c r="BN2">
        <v>193.3</v>
      </c>
      <c r="BO2">
        <v>3319.67</v>
      </c>
      <c r="BP2" t="s">
        <v>190</v>
      </c>
      <c r="BQ2">
        <v>55.99</v>
      </c>
      <c r="BR2">
        <v>959.31</v>
      </c>
      <c r="BS2" t="s">
        <v>191</v>
      </c>
      <c r="BT2">
        <v>617.20000000000005</v>
      </c>
      <c r="BU2">
        <v>11026.72</v>
      </c>
      <c r="BV2" t="s">
        <v>192</v>
      </c>
      <c r="BW2">
        <v>6.67</v>
      </c>
      <c r="BX2">
        <v>100.05</v>
      </c>
      <c r="BY2" t="s">
        <v>193</v>
      </c>
      <c r="BZ2">
        <v>18.760000000000002</v>
      </c>
      <c r="CA2">
        <v>266.3</v>
      </c>
      <c r="CB2" t="s">
        <v>194</v>
      </c>
      <c r="CC2">
        <v>168.65</v>
      </c>
      <c r="CD2">
        <v>2639.63</v>
      </c>
      <c r="DU2" t="s">
        <v>195</v>
      </c>
      <c r="DV2" t="s">
        <v>196</v>
      </c>
      <c r="DW2">
        <v>0</v>
      </c>
      <c r="DX2">
        <v>0</v>
      </c>
      <c r="DY2">
        <v>168.65</v>
      </c>
      <c r="DZ2">
        <v>2639.63</v>
      </c>
      <c r="EA2" t="s">
        <v>197</v>
      </c>
      <c r="EB2">
        <v>0</v>
      </c>
      <c r="EC2">
        <v>0</v>
      </c>
      <c r="ED2">
        <v>2.7</v>
      </c>
      <c r="EE2">
        <v>40.5</v>
      </c>
      <c r="EF2" t="s">
        <v>198</v>
      </c>
      <c r="EG2">
        <v>0</v>
      </c>
      <c r="EH2">
        <v>0</v>
      </c>
      <c r="EI2">
        <v>7.56</v>
      </c>
      <c r="EJ2">
        <v>113.4</v>
      </c>
      <c r="FT2" t="s">
        <v>199</v>
      </c>
      <c r="FU2" t="s">
        <v>199</v>
      </c>
      <c r="FV2" t="s">
        <v>199</v>
      </c>
    </row>
    <row r="3" spans="1:178" x14ac:dyDescent="0.55000000000000004">
      <c r="A3" t="s">
        <v>200</v>
      </c>
      <c r="B3">
        <v>17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>
        <v>2312.5</v>
      </c>
      <c r="J3" t="s">
        <v>185</v>
      </c>
      <c r="K3" s="6">
        <v>45500</v>
      </c>
      <c r="L3" s="6">
        <v>45513</v>
      </c>
      <c r="M3" t="s">
        <v>186</v>
      </c>
      <c r="N3" s="6">
        <v>45520</v>
      </c>
      <c r="O3" t="s">
        <v>187</v>
      </c>
      <c r="P3">
        <v>0</v>
      </c>
      <c r="Q3">
        <v>0</v>
      </c>
      <c r="R3">
        <v>0</v>
      </c>
      <c r="S3">
        <v>5000</v>
      </c>
      <c r="T3" t="s">
        <v>188</v>
      </c>
      <c r="U3">
        <v>80</v>
      </c>
      <c r="V3">
        <v>42.16</v>
      </c>
      <c r="W3">
        <v>3373.07</v>
      </c>
      <c r="X3">
        <v>56165.35</v>
      </c>
      <c r="BM3" t="s">
        <v>189</v>
      </c>
      <c r="BN3">
        <v>193.3</v>
      </c>
      <c r="BO3">
        <v>3512.97</v>
      </c>
      <c r="BP3" t="s">
        <v>190</v>
      </c>
      <c r="BQ3">
        <v>55.99</v>
      </c>
      <c r="BR3">
        <v>1015.3</v>
      </c>
      <c r="BS3" t="s">
        <v>191</v>
      </c>
      <c r="BT3">
        <v>617.20000000000005</v>
      </c>
      <c r="BU3">
        <v>11643.92</v>
      </c>
      <c r="BV3" t="s">
        <v>192</v>
      </c>
      <c r="BW3">
        <v>6.67</v>
      </c>
      <c r="BX3">
        <v>106.72</v>
      </c>
      <c r="BY3" t="s">
        <v>193</v>
      </c>
      <c r="BZ3">
        <v>18.760000000000002</v>
      </c>
      <c r="CA3">
        <v>285.06</v>
      </c>
      <c r="CB3" t="s">
        <v>194</v>
      </c>
      <c r="CC3">
        <v>168.65</v>
      </c>
      <c r="CD3">
        <v>2808.28</v>
      </c>
      <c r="DU3" t="s">
        <v>195</v>
      </c>
      <c r="DV3" t="s">
        <v>196</v>
      </c>
      <c r="DW3">
        <v>0</v>
      </c>
      <c r="DX3">
        <v>0</v>
      </c>
      <c r="DY3">
        <v>168.65</v>
      </c>
      <c r="DZ3">
        <v>2808.28</v>
      </c>
      <c r="EA3" t="s">
        <v>197</v>
      </c>
      <c r="EB3">
        <v>0</v>
      </c>
      <c r="EC3">
        <v>0</v>
      </c>
      <c r="ED3">
        <v>2.7</v>
      </c>
      <c r="EE3">
        <v>43.2</v>
      </c>
      <c r="EF3" t="s">
        <v>198</v>
      </c>
      <c r="EG3">
        <v>0</v>
      </c>
      <c r="EH3">
        <v>0</v>
      </c>
      <c r="EI3">
        <v>7.56</v>
      </c>
      <c r="EJ3">
        <v>120.96</v>
      </c>
      <c r="FT3" t="s">
        <v>199</v>
      </c>
      <c r="FU3" t="s">
        <v>199</v>
      </c>
      <c r="FV3" t="s">
        <v>199</v>
      </c>
    </row>
    <row r="4" spans="1:178" x14ac:dyDescent="0.55000000000000004">
      <c r="A4" t="s">
        <v>201</v>
      </c>
      <c r="B4">
        <v>18</v>
      </c>
      <c r="C4" t="s">
        <v>179</v>
      </c>
      <c r="D4" t="s">
        <v>180</v>
      </c>
      <c r="E4" t="s">
        <v>181</v>
      </c>
      <c r="F4" t="s">
        <v>182</v>
      </c>
      <c r="G4" t="s">
        <v>183</v>
      </c>
      <c r="H4" t="s">
        <v>184</v>
      </c>
      <c r="I4">
        <v>2363.7199999999998</v>
      </c>
      <c r="J4" t="s">
        <v>185</v>
      </c>
      <c r="K4" s="6">
        <v>45514</v>
      </c>
      <c r="L4" s="6">
        <v>45527</v>
      </c>
      <c r="M4" t="s">
        <v>186</v>
      </c>
      <c r="N4" s="6">
        <v>45534</v>
      </c>
      <c r="O4" t="s">
        <v>187</v>
      </c>
      <c r="P4">
        <v>0</v>
      </c>
      <c r="Q4">
        <v>0</v>
      </c>
      <c r="R4">
        <v>0</v>
      </c>
      <c r="S4">
        <v>5000</v>
      </c>
      <c r="T4" t="s">
        <v>188</v>
      </c>
      <c r="U4">
        <v>80</v>
      </c>
      <c r="V4">
        <v>42.16</v>
      </c>
      <c r="W4">
        <v>3373.07</v>
      </c>
      <c r="X4">
        <v>59538.42</v>
      </c>
      <c r="BM4" t="s">
        <v>189</v>
      </c>
      <c r="BN4">
        <v>192.69</v>
      </c>
      <c r="BO4">
        <v>3705.66</v>
      </c>
      <c r="BP4" t="s">
        <v>190</v>
      </c>
      <c r="BQ4">
        <v>33.82</v>
      </c>
      <c r="BR4">
        <v>1049.1199999999999</v>
      </c>
      <c r="BS4" t="s">
        <v>191</v>
      </c>
      <c r="BT4">
        <v>614.19000000000005</v>
      </c>
      <c r="BU4">
        <v>12258.11</v>
      </c>
      <c r="BV4" t="s">
        <v>192</v>
      </c>
      <c r="BW4">
        <v>0</v>
      </c>
      <c r="BX4">
        <v>106.72</v>
      </c>
      <c r="BY4" t="s">
        <v>193</v>
      </c>
      <c r="BZ4">
        <v>0</v>
      </c>
      <c r="CA4">
        <v>285.06</v>
      </c>
      <c r="CB4" t="s">
        <v>194</v>
      </c>
      <c r="CC4">
        <v>168.65</v>
      </c>
      <c r="CD4">
        <v>2976.93</v>
      </c>
      <c r="DU4" t="s">
        <v>195</v>
      </c>
      <c r="DV4" t="s">
        <v>196</v>
      </c>
      <c r="DW4">
        <v>0</v>
      </c>
      <c r="DX4">
        <v>0</v>
      </c>
      <c r="DY4">
        <v>168.65</v>
      </c>
      <c r="DZ4">
        <v>2976.93</v>
      </c>
      <c r="EA4" t="s">
        <v>197</v>
      </c>
      <c r="EB4">
        <v>0</v>
      </c>
      <c r="EC4">
        <v>0</v>
      </c>
      <c r="ED4">
        <v>0</v>
      </c>
      <c r="EE4">
        <v>43.2</v>
      </c>
      <c r="EF4" t="s">
        <v>198</v>
      </c>
      <c r="EG4">
        <v>0</v>
      </c>
      <c r="EH4">
        <v>0</v>
      </c>
      <c r="EI4">
        <v>0</v>
      </c>
      <c r="EJ4">
        <v>120.96</v>
      </c>
      <c r="FT4" t="s">
        <v>199</v>
      </c>
      <c r="FU4" t="s">
        <v>199</v>
      </c>
      <c r="FV4" t="s">
        <v>199</v>
      </c>
    </row>
    <row r="5" spans="1:178" x14ac:dyDescent="0.55000000000000004">
      <c r="A5" t="s">
        <v>202</v>
      </c>
      <c r="B5">
        <v>19</v>
      </c>
      <c r="C5" t="s">
        <v>179</v>
      </c>
      <c r="D5" t="s">
        <v>180</v>
      </c>
      <c r="E5" t="s">
        <v>181</v>
      </c>
      <c r="F5" t="s">
        <v>182</v>
      </c>
      <c r="G5" t="s">
        <v>183</v>
      </c>
      <c r="H5" t="s">
        <v>184</v>
      </c>
      <c r="I5">
        <v>2397.37</v>
      </c>
      <c r="J5" t="s">
        <v>185</v>
      </c>
      <c r="K5" s="6">
        <v>45528</v>
      </c>
      <c r="L5" s="6">
        <v>45541</v>
      </c>
      <c r="M5" t="s">
        <v>186</v>
      </c>
      <c r="N5" s="6">
        <v>45548</v>
      </c>
      <c r="O5" t="s">
        <v>187</v>
      </c>
      <c r="P5">
        <v>0</v>
      </c>
      <c r="Q5">
        <v>0</v>
      </c>
      <c r="R5">
        <v>0</v>
      </c>
      <c r="S5">
        <v>5000</v>
      </c>
      <c r="T5" t="s">
        <v>188</v>
      </c>
      <c r="U5">
        <v>80</v>
      </c>
      <c r="V5">
        <v>42.16</v>
      </c>
      <c r="W5">
        <v>3373.07</v>
      </c>
      <c r="X5">
        <v>62911.49</v>
      </c>
      <c r="BM5" t="s">
        <v>189</v>
      </c>
      <c r="BN5">
        <v>161.84</v>
      </c>
      <c r="BO5">
        <v>3867.5</v>
      </c>
      <c r="BP5" t="s">
        <v>190</v>
      </c>
      <c r="BQ5">
        <v>0</v>
      </c>
      <c r="BR5">
        <v>1049.1199999999999</v>
      </c>
      <c r="BS5" t="s">
        <v>191</v>
      </c>
      <c r="BT5">
        <v>618.61</v>
      </c>
      <c r="BU5">
        <v>12876.72</v>
      </c>
      <c r="BV5" t="s">
        <v>192</v>
      </c>
      <c r="BW5">
        <v>6.67</v>
      </c>
      <c r="BX5">
        <v>113.39</v>
      </c>
      <c r="BY5" t="s">
        <v>193</v>
      </c>
      <c r="BZ5">
        <v>19.93</v>
      </c>
      <c r="CA5">
        <v>304.99</v>
      </c>
      <c r="CB5" t="s">
        <v>194</v>
      </c>
      <c r="CC5">
        <v>168.65</v>
      </c>
      <c r="CD5">
        <v>3145.58</v>
      </c>
      <c r="DU5" t="s">
        <v>195</v>
      </c>
      <c r="DV5" t="s">
        <v>196</v>
      </c>
      <c r="DW5">
        <v>0</v>
      </c>
      <c r="DX5">
        <v>0</v>
      </c>
      <c r="DY5">
        <v>168.65</v>
      </c>
      <c r="DZ5">
        <v>3145.58</v>
      </c>
      <c r="EA5" t="s">
        <v>197</v>
      </c>
      <c r="EB5">
        <v>0</v>
      </c>
      <c r="EC5">
        <v>0</v>
      </c>
      <c r="ED5">
        <v>2.7</v>
      </c>
      <c r="EE5">
        <v>45.9</v>
      </c>
      <c r="EF5" t="s">
        <v>198</v>
      </c>
      <c r="EG5">
        <v>0</v>
      </c>
      <c r="EH5">
        <v>0</v>
      </c>
      <c r="EI5">
        <v>7.02</v>
      </c>
      <c r="EJ5">
        <v>127.98</v>
      </c>
      <c r="FT5" t="s">
        <v>199</v>
      </c>
      <c r="FU5" t="s">
        <v>199</v>
      </c>
      <c r="FV5" t="s">
        <v>199</v>
      </c>
    </row>
    <row r="6" spans="1:178" x14ac:dyDescent="0.55000000000000004">
      <c r="A6" t="s">
        <v>203</v>
      </c>
      <c r="B6">
        <v>20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>
        <v>2466.5700000000002</v>
      </c>
      <c r="J6" t="s">
        <v>185</v>
      </c>
      <c r="K6" s="6">
        <v>45542</v>
      </c>
      <c r="L6" s="6">
        <v>45555</v>
      </c>
      <c r="M6" t="s">
        <v>186</v>
      </c>
      <c r="N6" s="6">
        <v>45562</v>
      </c>
      <c r="O6" t="s">
        <v>187</v>
      </c>
      <c r="P6">
        <v>0</v>
      </c>
      <c r="Q6">
        <v>0</v>
      </c>
      <c r="R6">
        <v>0</v>
      </c>
      <c r="S6">
        <v>5000</v>
      </c>
      <c r="T6" t="s">
        <v>188</v>
      </c>
      <c r="U6">
        <v>80</v>
      </c>
      <c r="V6">
        <v>42.16</v>
      </c>
      <c r="W6">
        <v>3373.07</v>
      </c>
      <c r="X6">
        <v>66284.56</v>
      </c>
      <c r="BM6" t="s">
        <v>189</v>
      </c>
      <c r="BN6">
        <v>0</v>
      </c>
      <c r="BO6">
        <v>3867.5</v>
      </c>
      <c r="BP6" t="s">
        <v>204</v>
      </c>
      <c r="BQ6">
        <v>118.73</v>
      </c>
      <c r="BR6">
        <v>118.73</v>
      </c>
      <c r="BS6" t="s">
        <v>190</v>
      </c>
      <c r="BT6">
        <v>0</v>
      </c>
      <c r="BU6">
        <v>1049.1199999999999</v>
      </c>
      <c r="BV6" t="s">
        <v>191</v>
      </c>
      <c r="BW6">
        <v>591.47</v>
      </c>
      <c r="BX6">
        <v>13468.19</v>
      </c>
      <c r="BY6" t="s">
        <v>192</v>
      </c>
      <c r="BZ6">
        <v>7.72</v>
      </c>
      <c r="CA6">
        <v>121.11</v>
      </c>
      <c r="CB6" t="s">
        <v>193</v>
      </c>
      <c r="CC6">
        <v>19.93</v>
      </c>
      <c r="CD6">
        <v>324.92</v>
      </c>
      <c r="CE6" t="s">
        <v>194</v>
      </c>
      <c r="CF6">
        <v>168.65</v>
      </c>
      <c r="CG6">
        <v>3314.23</v>
      </c>
      <c r="DU6" t="s">
        <v>195</v>
      </c>
      <c r="DV6" t="s">
        <v>196</v>
      </c>
      <c r="DW6">
        <v>0</v>
      </c>
      <c r="DX6">
        <v>0</v>
      </c>
      <c r="DY6">
        <v>168.65</v>
      </c>
      <c r="DZ6">
        <v>3314.23</v>
      </c>
      <c r="EA6" t="s">
        <v>197</v>
      </c>
      <c r="EB6">
        <v>0</v>
      </c>
      <c r="EC6">
        <v>0</v>
      </c>
      <c r="ED6">
        <v>2.7</v>
      </c>
      <c r="EE6">
        <v>48.6</v>
      </c>
      <c r="EF6" t="s">
        <v>198</v>
      </c>
      <c r="EG6">
        <v>0</v>
      </c>
      <c r="EH6">
        <v>0</v>
      </c>
      <c r="EI6">
        <v>7.02</v>
      </c>
      <c r="EJ6">
        <v>135</v>
      </c>
      <c r="FT6" t="s">
        <v>199</v>
      </c>
      <c r="FU6" t="s">
        <v>199</v>
      </c>
      <c r="FV6" t="s">
        <v>199</v>
      </c>
    </row>
    <row r="7" spans="1:178" x14ac:dyDescent="0.55000000000000004">
      <c r="A7" t="s">
        <v>205</v>
      </c>
      <c r="B7">
        <v>21</v>
      </c>
      <c r="C7" t="s">
        <v>179</v>
      </c>
      <c r="D7" t="s">
        <v>180</v>
      </c>
      <c r="E7" t="s">
        <v>181</v>
      </c>
      <c r="F7" t="s">
        <v>182</v>
      </c>
      <c r="G7" t="s">
        <v>183</v>
      </c>
      <c r="H7" t="s">
        <v>184</v>
      </c>
      <c r="I7">
        <v>2502.06</v>
      </c>
      <c r="J7" t="s">
        <v>185</v>
      </c>
      <c r="K7" s="6">
        <v>45556</v>
      </c>
      <c r="L7" s="6">
        <v>45569</v>
      </c>
      <c r="M7" t="s">
        <v>186</v>
      </c>
      <c r="N7" s="6">
        <v>45576</v>
      </c>
      <c r="O7" t="s">
        <v>187</v>
      </c>
      <c r="P7">
        <v>0</v>
      </c>
      <c r="Q7">
        <v>0</v>
      </c>
      <c r="R7">
        <v>0</v>
      </c>
      <c r="S7">
        <v>5000</v>
      </c>
      <c r="T7" t="s">
        <v>188</v>
      </c>
      <c r="U7">
        <v>80</v>
      </c>
      <c r="V7">
        <v>42.16</v>
      </c>
      <c r="W7">
        <v>3373.07</v>
      </c>
      <c r="X7">
        <v>69657.63</v>
      </c>
      <c r="BM7" t="s">
        <v>189</v>
      </c>
      <c r="BN7">
        <v>0</v>
      </c>
      <c r="BO7">
        <v>3867.5</v>
      </c>
      <c r="BP7" t="s">
        <v>204</v>
      </c>
      <c r="BQ7">
        <v>69.27</v>
      </c>
      <c r="BR7">
        <v>188</v>
      </c>
      <c r="BS7" t="s">
        <v>190</v>
      </c>
      <c r="BT7">
        <v>0</v>
      </c>
      <c r="BU7">
        <v>1049.1199999999999</v>
      </c>
      <c r="BV7" t="s">
        <v>191</v>
      </c>
      <c r="BW7">
        <v>606.14</v>
      </c>
      <c r="BX7">
        <v>14074.33</v>
      </c>
      <c r="BY7" t="s">
        <v>192</v>
      </c>
      <c r="BZ7">
        <v>7.02</v>
      </c>
      <c r="CA7">
        <v>128.13</v>
      </c>
      <c r="CB7" t="s">
        <v>193</v>
      </c>
      <c r="CC7">
        <v>19.93</v>
      </c>
      <c r="CD7">
        <v>344.85</v>
      </c>
      <c r="CE7" t="s">
        <v>194</v>
      </c>
      <c r="CF7">
        <v>168.65</v>
      </c>
      <c r="CG7">
        <v>3482.88</v>
      </c>
      <c r="DU7" t="s">
        <v>195</v>
      </c>
      <c r="DV7" t="s">
        <v>196</v>
      </c>
      <c r="DW7">
        <v>0</v>
      </c>
      <c r="DX7">
        <v>0</v>
      </c>
      <c r="DY7">
        <v>168.65</v>
      </c>
      <c r="DZ7">
        <v>3482.88</v>
      </c>
      <c r="EA7" t="s">
        <v>197</v>
      </c>
      <c r="EB7">
        <v>0</v>
      </c>
      <c r="EC7">
        <v>0</v>
      </c>
      <c r="ED7">
        <v>2.7</v>
      </c>
      <c r="EE7">
        <v>51.3</v>
      </c>
      <c r="EF7" t="s">
        <v>198</v>
      </c>
      <c r="EG7">
        <v>0</v>
      </c>
      <c r="EH7">
        <v>0</v>
      </c>
      <c r="EI7">
        <v>7.02</v>
      </c>
      <c r="EJ7">
        <v>142.02000000000001</v>
      </c>
      <c r="FT7" t="s">
        <v>199</v>
      </c>
      <c r="FU7" t="s">
        <v>199</v>
      </c>
      <c r="FV7" t="s">
        <v>199</v>
      </c>
    </row>
    <row r="8" spans="1:178" x14ac:dyDescent="0.55000000000000004">
      <c r="A8" t="s">
        <v>206</v>
      </c>
      <c r="B8">
        <v>22</v>
      </c>
      <c r="C8" t="s">
        <v>179</v>
      </c>
      <c r="D8" t="s">
        <v>180</v>
      </c>
      <c r="E8" t="s">
        <v>181</v>
      </c>
      <c r="F8" t="s">
        <v>182</v>
      </c>
      <c r="G8" t="s">
        <v>183</v>
      </c>
      <c r="H8" t="s">
        <v>184</v>
      </c>
      <c r="I8">
        <v>2550.8000000000002</v>
      </c>
      <c r="J8" t="s">
        <v>185</v>
      </c>
      <c r="K8" s="6">
        <v>45570</v>
      </c>
      <c r="L8" s="6">
        <v>45583</v>
      </c>
      <c r="M8" t="s">
        <v>186</v>
      </c>
      <c r="N8" s="6">
        <v>45590</v>
      </c>
      <c r="O8" t="s">
        <v>187</v>
      </c>
      <c r="P8">
        <v>0</v>
      </c>
      <c r="Q8">
        <v>0</v>
      </c>
      <c r="R8">
        <v>0</v>
      </c>
      <c r="S8">
        <v>5000</v>
      </c>
      <c r="T8" t="s">
        <v>188</v>
      </c>
      <c r="U8">
        <v>80</v>
      </c>
      <c r="V8">
        <v>42.16</v>
      </c>
      <c r="W8">
        <v>3373.07</v>
      </c>
      <c r="X8">
        <v>73030.7</v>
      </c>
      <c r="BM8" t="s">
        <v>189</v>
      </c>
      <c r="BN8">
        <v>0</v>
      </c>
      <c r="BO8">
        <v>3867.5</v>
      </c>
      <c r="BP8" t="s">
        <v>204</v>
      </c>
      <c r="BQ8">
        <v>0</v>
      </c>
      <c r="BR8">
        <v>188</v>
      </c>
      <c r="BS8" t="s">
        <v>190</v>
      </c>
      <c r="BT8">
        <v>0</v>
      </c>
      <c r="BU8">
        <v>1049.1199999999999</v>
      </c>
      <c r="BV8" t="s">
        <v>191</v>
      </c>
      <c r="BW8">
        <v>626.66999999999996</v>
      </c>
      <c r="BX8">
        <v>14701</v>
      </c>
      <c r="BY8" t="s">
        <v>192</v>
      </c>
      <c r="BZ8">
        <v>7.02</v>
      </c>
      <c r="CA8">
        <v>135.15</v>
      </c>
      <c r="CB8" t="s">
        <v>193</v>
      </c>
      <c r="CC8">
        <v>19.93</v>
      </c>
      <c r="CD8">
        <v>364.78</v>
      </c>
      <c r="CE8" t="s">
        <v>194</v>
      </c>
      <c r="CF8">
        <v>168.65</v>
      </c>
      <c r="CG8">
        <v>3651.53</v>
      </c>
      <c r="DU8" t="s">
        <v>195</v>
      </c>
      <c r="DV8" t="s">
        <v>196</v>
      </c>
      <c r="DW8">
        <v>0</v>
      </c>
      <c r="DX8">
        <v>0</v>
      </c>
      <c r="DY8">
        <v>168.65</v>
      </c>
      <c r="DZ8">
        <v>3651.53</v>
      </c>
      <c r="EA8" t="s">
        <v>197</v>
      </c>
      <c r="EB8">
        <v>0</v>
      </c>
      <c r="EC8">
        <v>0</v>
      </c>
      <c r="ED8">
        <v>2.7</v>
      </c>
      <c r="EE8">
        <v>54</v>
      </c>
      <c r="EF8" t="s">
        <v>198</v>
      </c>
      <c r="EG8">
        <v>0</v>
      </c>
      <c r="EH8">
        <v>0</v>
      </c>
      <c r="EI8">
        <v>7.02</v>
      </c>
      <c r="EJ8">
        <v>149.04</v>
      </c>
      <c r="FT8" t="s">
        <v>199</v>
      </c>
      <c r="FU8" t="s">
        <v>199</v>
      </c>
      <c r="FV8" t="s">
        <v>199</v>
      </c>
    </row>
    <row r="9" spans="1:178" x14ac:dyDescent="0.55000000000000004">
      <c r="A9" t="s">
        <v>207</v>
      </c>
      <c r="B9">
        <v>23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>
        <v>2550.8000000000002</v>
      </c>
      <c r="J9" t="s">
        <v>185</v>
      </c>
      <c r="K9" s="6">
        <v>45584</v>
      </c>
      <c r="L9" s="6">
        <v>45597</v>
      </c>
      <c r="M9" t="s">
        <v>186</v>
      </c>
      <c r="N9" s="6">
        <v>45604</v>
      </c>
      <c r="O9" t="s">
        <v>187</v>
      </c>
      <c r="P9">
        <v>0</v>
      </c>
      <c r="Q9">
        <v>0</v>
      </c>
      <c r="R9">
        <v>0</v>
      </c>
      <c r="S9">
        <v>5000</v>
      </c>
      <c r="T9" t="s">
        <v>188</v>
      </c>
      <c r="U9">
        <v>80</v>
      </c>
      <c r="V9">
        <v>42.16</v>
      </c>
      <c r="W9">
        <v>3373.07</v>
      </c>
      <c r="X9">
        <v>76403.77</v>
      </c>
      <c r="BM9" t="s">
        <v>189</v>
      </c>
      <c r="BN9">
        <v>0</v>
      </c>
      <c r="BO9">
        <v>3867.5</v>
      </c>
      <c r="BP9" t="s">
        <v>204</v>
      </c>
      <c r="BQ9">
        <v>0</v>
      </c>
      <c r="BR9">
        <v>188</v>
      </c>
      <c r="BS9" t="s">
        <v>190</v>
      </c>
      <c r="BT9">
        <v>0</v>
      </c>
      <c r="BU9">
        <v>1049.1199999999999</v>
      </c>
      <c r="BV9" t="s">
        <v>191</v>
      </c>
      <c r="BW9">
        <v>626.66999999999996</v>
      </c>
      <c r="BX9">
        <v>15327.67</v>
      </c>
      <c r="BY9" t="s">
        <v>192</v>
      </c>
      <c r="BZ9">
        <v>7.02</v>
      </c>
      <c r="CA9">
        <v>142.16999999999999</v>
      </c>
      <c r="CB9" t="s">
        <v>193</v>
      </c>
      <c r="CC9">
        <v>19.93</v>
      </c>
      <c r="CD9">
        <v>384.71</v>
      </c>
      <c r="CE9" t="s">
        <v>194</v>
      </c>
      <c r="CF9">
        <v>168.65</v>
      </c>
      <c r="CG9">
        <v>3820.18</v>
      </c>
      <c r="DU9" t="s">
        <v>195</v>
      </c>
      <c r="DV9" t="s">
        <v>196</v>
      </c>
      <c r="DW9">
        <v>0</v>
      </c>
      <c r="DX9">
        <v>0</v>
      </c>
      <c r="DY9">
        <v>168.65</v>
      </c>
      <c r="DZ9">
        <v>3820.18</v>
      </c>
      <c r="EA9" t="s">
        <v>197</v>
      </c>
      <c r="EB9">
        <v>0</v>
      </c>
      <c r="EC9">
        <v>0</v>
      </c>
      <c r="ED9">
        <v>2.7</v>
      </c>
      <c r="EE9">
        <v>56.7</v>
      </c>
      <c r="EF9" t="s">
        <v>198</v>
      </c>
      <c r="EG9">
        <v>0</v>
      </c>
      <c r="EH9">
        <v>0</v>
      </c>
      <c r="EI9">
        <v>7.02</v>
      </c>
      <c r="EJ9">
        <v>156.06</v>
      </c>
      <c r="FT9" t="s">
        <v>199</v>
      </c>
      <c r="FU9" t="s">
        <v>199</v>
      </c>
      <c r="FV9" t="s">
        <v>199</v>
      </c>
    </row>
    <row r="10" spans="1:178" x14ac:dyDescent="0.55000000000000004">
      <c r="A10" t="s">
        <v>208</v>
      </c>
      <c r="B10">
        <v>24</v>
      </c>
      <c r="C10" t="s">
        <v>179</v>
      </c>
      <c r="D10" t="s">
        <v>180</v>
      </c>
      <c r="E10" t="s">
        <v>181</v>
      </c>
      <c r="F10" t="s">
        <v>182</v>
      </c>
      <c r="G10" t="s">
        <v>183</v>
      </c>
      <c r="H10" t="s">
        <v>184</v>
      </c>
      <c r="I10">
        <v>2831.48</v>
      </c>
      <c r="J10" t="s">
        <v>185</v>
      </c>
      <c r="K10" s="6">
        <v>45598</v>
      </c>
      <c r="L10" s="6">
        <v>45611</v>
      </c>
      <c r="M10" t="s">
        <v>186</v>
      </c>
      <c r="N10" s="6">
        <v>45618</v>
      </c>
      <c r="O10" t="s">
        <v>187</v>
      </c>
      <c r="P10">
        <v>0</v>
      </c>
      <c r="Q10">
        <v>0</v>
      </c>
      <c r="R10">
        <v>0</v>
      </c>
      <c r="S10">
        <v>5000</v>
      </c>
      <c r="T10" t="s">
        <v>209</v>
      </c>
      <c r="U10">
        <v>0</v>
      </c>
      <c r="V10">
        <v>0</v>
      </c>
      <c r="W10">
        <v>400</v>
      </c>
      <c r="X10">
        <v>400</v>
      </c>
      <c r="Y10" t="s">
        <v>188</v>
      </c>
      <c r="Z10">
        <v>80</v>
      </c>
      <c r="AA10">
        <v>42.16</v>
      </c>
      <c r="AB10">
        <v>3373.07</v>
      </c>
      <c r="AC10">
        <v>79776.84</v>
      </c>
      <c r="BM10" t="s">
        <v>189</v>
      </c>
      <c r="BN10">
        <v>0</v>
      </c>
      <c r="BO10">
        <v>3867.5</v>
      </c>
      <c r="BP10" t="s">
        <v>204</v>
      </c>
      <c r="BQ10">
        <v>0</v>
      </c>
      <c r="BR10">
        <v>188</v>
      </c>
      <c r="BS10" t="s">
        <v>190</v>
      </c>
      <c r="BT10">
        <v>0</v>
      </c>
      <c r="BU10">
        <v>1049.1199999999999</v>
      </c>
      <c r="BV10" t="s">
        <v>191</v>
      </c>
      <c r="BW10">
        <v>745.99</v>
      </c>
      <c r="BX10">
        <v>16073.66</v>
      </c>
      <c r="BY10" t="s">
        <v>192</v>
      </c>
      <c r="BZ10">
        <v>7.02</v>
      </c>
      <c r="CA10">
        <v>149.19</v>
      </c>
      <c r="CB10" t="s">
        <v>193</v>
      </c>
      <c r="CC10">
        <v>19.93</v>
      </c>
      <c r="CD10">
        <v>404.64</v>
      </c>
      <c r="CE10" t="s">
        <v>194</v>
      </c>
      <c r="CF10">
        <v>168.65</v>
      </c>
      <c r="CG10">
        <v>3988.83</v>
      </c>
      <c r="DU10" t="s">
        <v>195</v>
      </c>
      <c r="DV10" t="s">
        <v>196</v>
      </c>
      <c r="DW10">
        <v>0</v>
      </c>
      <c r="DX10">
        <v>0</v>
      </c>
      <c r="DY10">
        <v>168.65</v>
      </c>
      <c r="DZ10">
        <v>3988.83</v>
      </c>
      <c r="EA10" t="s">
        <v>197</v>
      </c>
      <c r="EB10">
        <v>0</v>
      </c>
      <c r="EC10">
        <v>0</v>
      </c>
      <c r="ED10">
        <v>2.7</v>
      </c>
      <c r="EE10">
        <v>59.4</v>
      </c>
      <c r="EF10" t="s">
        <v>198</v>
      </c>
      <c r="EG10">
        <v>0</v>
      </c>
      <c r="EH10">
        <v>0</v>
      </c>
      <c r="EI10">
        <v>7.02</v>
      </c>
      <c r="EJ10">
        <v>163.08000000000001</v>
      </c>
      <c r="FT10" t="s">
        <v>199</v>
      </c>
      <c r="FU10" t="s">
        <v>199</v>
      </c>
      <c r="FV10" t="s">
        <v>199</v>
      </c>
    </row>
    <row r="11" spans="1:178" x14ac:dyDescent="0.55000000000000004">
      <c r="A11" t="s">
        <v>210</v>
      </c>
      <c r="B11">
        <v>25</v>
      </c>
      <c r="C11" t="s">
        <v>179</v>
      </c>
      <c r="D11" t="s">
        <v>180</v>
      </c>
      <c r="E11" t="s">
        <v>181</v>
      </c>
      <c r="F11" t="s">
        <v>182</v>
      </c>
      <c r="G11" t="s">
        <v>183</v>
      </c>
      <c r="H11" t="s">
        <v>184</v>
      </c>
      <c r="I11">
        <v>2550.8000000000002</v>
      </c>
      <c r="J11" t="s">
        <v>185</v>
      </c>
      <c r="K11" s="6">
        <v>45612</v>
      </c>
      <c r="L11" s="6">
        <v>45625</v>
      </c>
      <c r="M11" t="s">
        <v>186</v>
      </c>
      <c r="N11" s="6">
        <v>45632</v>
      </c>
      <c r="O11" t="s">
        <v>187</v>
      </c>
      <c r="P11">
        <v>0</v>
      </c>
      <c r="Q11">
        <v>0</v>
      </c>
      <c r="R11">
        <v>0</v>
      </c>
      <c r="S11">
        <v>5000</v>
      </c>
      <c r="T11" t="s">
        <v>209</v>
      </c>
      <c r="U11">
        <v>0</v>
      </c>
      <c r="V11">
        <v>0</v>
      </c>
      <c r="W11">
        <v>0</v>
      </c>
      <c r="X11">
        <v>400</v>
      </c>
      <c r="Y11" t="s">
        <v>188</v>
      </c>
      <c r="Z11">
        <v>80</v>
      </c>
      <c r="AA11">
        <v>42.16</v>
      </c>
      <c r="AB11">
        <v>3373.07</v>
      </c>
      <c r="AC11">
        <v>83149.91</v>
      </c>
      <c r="BM11" t="s">
        <v>189</v>
      </c>
      <c r="BN11">
        <v>0</v>
      </c>
      <c r="BO11">
        <v>3867.5</v>
      </c>
      <c r="BP11" t="s">
        <v>204</v>
      </c>
      <c r="BQ11">
        <v>0</v>
      </c>
      <c r="BR11">
        <v>188</v>
      </c>
      <c r="BS11" t="s">
        <v>190</v>
      </c>
      <c r="BT11">
        <v>0</v>
      </c>
      <c r="BU11">
        <v>1049.1199999999999</v>
      </c>
      <c r="BV11" t="s">
        <v>191</v>
      </c>
      <c r="BW11">
        <v>626.66999999999996</v>
      </c>
      <c r="BX11">
        <v>16700.330000000002</v>
      </c>
      <c r="BY11" t="s">
        <v>192</v>
      </c>
      <c r="BZ11">
        <v>7.02</v>
      </c>
      <c r="CA11">
        <v>156.21</v>
      </c>
      <c r="CB11" t="s">
        <v>193</v>
      </c>
      <c r="CC11">
        <v>19.93</v>
      </c>
      <c r="CD11">
        <v>424.57</v>
      </c>
      <c r="CE11" t="s">
        <v>194</v>
      </c>
      <c r="CF11">
        <v>168.65</v>
      </c>
      <c r="CG11">
        <v>4157.4799999999996</v>
      </c>
      <c r="DU11" t="s">
        <v>195</v>
      </c>
      <c r="DV11" t="s">
        <v>196</v>
      </c>
      <c r="DW11">
        <v>0</v>
      </c>
      <c r="DX11">
        <v>0</v>
      </c>
      <c r="DY11">
        <v>168.65</v>
      </c>
      <c r="DZ11">
        <v>4157.4799999999996</v>
      </c>
      <c r="EA11" t="s">
        <v>197</v>
      </c>
      <c r="EB11">
        <v>0</v>
      </c>
      <c r="EC11">
        <v>0</v>
      </c>
      <c r="ED11">
        <v>2.7</v>
      </c>
      <c r="EE11">
        <v>62.1</v>
      </c>
      <c r="EF11" t="s">
        <v>198</v>
      </c>
      <c r="EG11">
        <v>0</v>
      </c>
      <c r="EH11">
        <v>0</v>
      </c>
      <c r="EI11">
        <v>7.02</v>
      </c>
      <c r="EJ11">
        <v>170.1</v>
      </c>
      <c r="FT11" t="s">
        <v>199</v>
      </c>
      <c r="FU11" t="s">
        <v>199</v>
      </c>
      <c r="FV11" t="s">
        <v>199</v>
      </c>
    </row>
    <row r="12" spans="1:178" x14ac:dyDescent="0.55000000000000004">
      <c r="A12" t="s">
        <v>211</v>
      </c>
      <c r="B12">
        <v>26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>
        <v>2550.8000000000002</v>
      </c>
      <c r="J12" t="s">
        <v>185</v>
      </c>
      <c r="K12" s="6">
        <v>45626</v>
      </c>
      <c r="L12" s="6">
        <v>45639</v>
      </c>
      <c r="M12" t="s">
        <v>186</v>
      </c>
      <c r="N12" s="6">
        <v>45646</v>
      </c>
      <c r="O12" t="s">
        <v>187</v>
      </c>
      <c r="P12">
        <v>0</v>
      </c>
      <c r="Q12">
        <v>0</v>
      </c>
      <c r="R12">
        <v>0</v>
      </c>
      <c r="S12">
        <v>5000</v>
      </c>
      <c r="T12" t="s">
        <v>209</v>
      </c>
      <c r="U12">
        <v>0</v>
      </c>
      <c r="V12">
        <v>0</v>
      </c>
      <c r="W12">
        <v>0</v>
      </c>
      <c r="X12">
        <v>400</v>
      </c>
      <c r="Y12" t="s">
        <v>188</v>
      </c>
      <c r="Z12">
        <v>80</v>
      </c>
      <c r="AA12">
        <v>42.16</v>
      </c>
      <c r="AB12">
        <v>3373.07</v>
      </c>
      <c r="AC12">
        <v>86522.98</v>
      </c>
      <c r="BM12" t="s">
        <v>189</v>
      </c>
      <c r="BN12">
        <v>0</v>
      </c>
      <c r="BO12">
        <v>3867.5</v>
      </c>
      <c r="BP12" t="s">
        <v>204</v>
      </c>
      <c r="BQ12">
        <v>0</v>
      </c>
      <c r="BR12">
        <v>188</v>
      </c>
      <c r="BS12" t="s">
        <v>190</v>
      </c>
      <c r="BT12">
        <v>0</v>
      </c>
      <c r="BU12">
        <v>1049.1199999999999</v>
      </c>
      <c r="BV12" t="s">
        <v>191</v>
      </c>
      <c r="BW12">
        <v>626.66999999999996</v>
      </c>
      <c r="BX12">
        <v>17327</v>
      </c>
      <c r="BY12" t="s">
        <v>192</v>
      </c>
      <c r="BZ12">
        <v>7.02</v>
      </c>
      <c r="CA12">
        <v>163.22999999999999</v>
      </c>
      <c r="CB12" t="s">
        <v>193</v>
      </c>
      <c r="CC12">
        <v>19.93</v>
      </c>
      <c r="CD12">
        <v>444.5</v>
      </c>
      <c r="CE12" t="s">
        <v>194</v>
      </c>
      <c r="CF12">
        <v>168.65</v>
      </c>
      <c r="CG12">
        <v>4326.13</v>
      </c>
      <c r="DU12" t="s">
        <v>195</v>
      </c>
      <c r="DV12" t="s">
        <v>196</v>
      </c>
      <c r="DW12">
        <v>0</v>
      </c>
      <c r="DX12">
        <v>0</v>
      </c>
      <c r="DY12">
        <v>168.65</v>
      </c>
      <c r="DZ12">
        <v>4326.13</v>
      </c>
      <c r="EA12" t="s">
        <v>197</v>
      </c>
      <c r="EB12">
        <v>0</v>
      </c>
      <c r="EC12">
        <v>0</v>
      </c>
      <c r="ED12">
        <v>2.7</v>
      </c>
      <c r="EE12">
        <v>64.8</v>
      </c>
      <c r="EF12" t="s">
        <v>198</v>
      </c>
      <c r="EG12">
        <v>0</v>
      </c>
      <c r="EH12">
        <v>0</v>
      </c>
      <c r="EI12">
        <v>7.02</v>
      </c>
      <c r="EJ12">
        <v>177.12</v>
      </c>
      <c r="FT12" t="s">
        <v>199</v>
      </c>
      <c r="FU12" t="s">
        <v>199</v>
      </c>
      <c r="FV12" t="s">
        <v>199</v>
      </c>
    </row>
    <row r="13" spans="1:178" x14ac:dyDescent="0.55000000000000004">
      <c r="A13" t="s">
        <v>212</v>
      </c>
      <c r="B13">
        <v>1</v>
      </c>
      <c r="C13" t="s">
        <v>179</v>
      </c>
      <c r="D13" t="s">
        <v>180</v>
      </c>
      <c r="E13" t="s">
        <v>181</v>
      </c>
      <c r="F13" t="s">
        <v>182</v>
      </c>
      <c r="G13" t="s">
        <v>183</v>
      </c>
      <c r="H13" t="s">
        <v>184</v>
      </c>
      <c r="I13">
        <v>2311.17</v>
      </c>
      <c r="J13" t="s">
        <v>185</v>
      </c>
      <c r="K13" s="6">
        <v>45650</v>
      </c>
      <c r="L13" s="6">
        <v>45663</v>
      </c>
      <c r="M13" t="s">
        <v>186</v>
      </c>
      <c r="N13" s="6">
        <v>45660</v>
      </c>
      <c r="O13" t="s">
        <v>188</v>
      </c>
      <c r="P13">
        <v>80</v>
      </c>
      <c r="Q13">
        <v>42.16</v>
      </c>
      <c r="R13">
        <v>3373.07</v>
      </c>
      <c r="S13">
        <v>3373.07</v>
      </c>
      <c r="BM13" t="s">
        <v>189</v>
      </c>
      <c r="BN13">
        <v>193.27</v>
      </c>
      <c r="BO13">
        <v>193.27</v>
      </c>
      <c r="BP13" t="s">
        <v>190</v>
      </c>
      <c r="BQ13">
        <v>55.99</v>
      </c>
      <c r="BR13">
        <v>55.99</v>
      </c>
      <c r="BS13" t="s">
        <v>191</v>
      </c>
      <c r="BT13">
        <v>617.04</v>
      </c>
      <c r="BU13">
        <v>617.04</v>
      </c>
      <c r="BV13" t="s">
        <v>192</v>
      </c>
      <c r="BW13">
        <v>7.02</v>
      </c>
      <c r="BX13">
        <v>7.02</v>
      </c>
      <c r="BY13" t="s">
        <v>193</v>
      </c>
      <c r="BZ13">
        <v>19.93</v>
      </c>
      <c r="CA13">
        <v>19.93</v>
      </c>
      <c r="CB13" t="s">
        <v>194</v>
      </c>
      <c r="CC13">
        <v>168.65</v>
      </c>
      <c r="CD13">
        <v>168.65</v>
      </c>
      <c r="DU13" t="s">
        <v>195</v>
      </c>
      <c r="DV13" t="s">
        <v>196</v>
      </c>
      <c r="DW13">
        <v>0</v>
      </c>
      <c r="DX13">
        <v>0</v>
      </c>
      <c r="DY13">
        <v>168.65</v>
      </c>
      <c r="DZ13">
        <v>168.65</v>
      </c>
      <c r="EA13" t="s">
        <v>197</v>
      </c>
      <c r="EB13">
        <v>0</v>
      </c>
      <c r="EC13">
        <v>0</v>
      </c>
      <c r="ED13">
        <v>2.7</v>
      </c>
      <c r="EE13">
        <v>2.7</v>
      </c>
      <c r="EF13" t="s">
        <v>198</v>
      </c>
      <c r="EG13">
        <v>0</v>
      </c>
      <c r="EH13">
        <v>0</v>
      </c>
      <c r="EI13">
        <v>7.02</v>
      </c>
      <c r="EJ13">
        <v>7.02</v>
      </c>
      <c r="FT13" t="s">
        <v>199</v>
      </c>
      <c r="FU13" t="s">
        <v>199</v>
      </c>
      <c r="FV13" t="s">
        <v>199</v>
      </c>
    </row>
    <row r="14" spans="1:178" x14ac:dyDescent="0.55000000000000004">
      <c r="A14" t="s">
        <v>213</v>
      </c>
      <c r="B14">
        <v>2</v>
      </c>
      <c r="C14" t="s">
        <v>179</v>
      </c>
      <c r="D14" t="s">
        <v>180</v>
      </c>
      <c r="E14" t="s">
        <v>181</v>
      </c>
      <c r="F14" t="s">
        <v>182</v>
      </c>
      <c r="G14" t="s">
        <v>183</v>
      </c>
      <c r="H14" t="s">
        <v>184</v>
      </c>
      <c r="I14">
        <v>2321.9299999999998</v>
      </c>
      <c r="J14" t="s">
        <v>185</v>
      </c>
      <c r="K14" s="6">
        <v>45654</v>
      </c>
      <c r="L14" s="6">
        <v>45667</v>
      </c>
      <c r="M14" t="s">
        <v>186</v>
      </c>
      <c r="N14" s="6">
        <v>45674</v>
      </c>
      <c r="O14" t="s">
        <v>188</v>
      </c>
      <c r="P14">
        <v>80</v>
      </c>
      <c r="Q14">
        <v>42.16</v>
      </c>
      <c r="R14">
        <v>3373.07</v>
      </c>
      <c r="S14">
        <v>6746.14</v>
      </c>
      <c r="BM14" t="s">
        <v>189</v>
      </c>
      <c r="BN14">
        <v>193.27</v>
      </c>
      <c r="BO14">
        <v>386.54</v>
      </c>
      <c r="BP14" t="s">
        <v>190</v>
      </c>
      <c r="BQ14">
        <v>55.32</v>
      </c>
      <c r="BR14">
        <v>111.31</v>
      </c>
      <c r="BS14" t="s">
        <v>191</v>
      </c>
      <c r="BT14">
        <v>606.95000000000005</v>
      </c>
      <c r="BU14">
        <v>1223.99</v>
      </c>
      <c r="BV14" t="s">
        <v>192</v>
      </c>
      <c r="BW14">
        <v>7.02</v>
      </c>
      <c r="BX14">
        <v>14.04</v>
      </c>
      <c r="BY14" t="s">
        <v>193</v>
      </c>
      <c r="BZ14">
        <v>19.93</v>
      </c>
      <c r="CA14">
        <v>39.86</v>
      </c>
      <c r="CB14" t="s">
        <v>194</v>
      </c>
      <c r="CC14">
        <v>168.65</v>
      </c>
      <c r="CD14">
        <v>337.3</v>
      </c>
      <c r="DU14" t="s">
        <v>195</v>
      </c>
      <c r="DV14" t="s">
        <v>196</v>
      </c>
      <c r="DW14">
        <v>0</v>
      </c>
      <c r="DX14">
        <v>0</v>
      </c>
      <c r="DY14">
        <v>168.65</v>
      </c>
      <c r="DZ14">
        <v>337.3</v>
      </c>
      <c r="EA14" t="s">
        <v>197</v>
      </c>
      <c r="EB14">
        <v>0</v>
      </c>
      <c r="EC14">
        <v>0</v>
      </c>
      <c r="ED14">
        <v>2.7</v>
      </c>
      <c r="EE14">
        <v>5.4</v>
      </c>
      <c r="EF14" t="s">
        <v>198</v>
      </c>
      <c r="EG14">
        <v>0</v>
      </c>
      <c r="EH14">
        <v>0</v>
      </c>
      <c r="EI14">
        <v>7.02</v>
      </c>
      <c r="EJ14">
        <v>14.04</v>
      </c>
      <c r="FT14" t="s">
        <v>199</v>
      </c>
      <c r="FU14" t="s">
        <v>199</v>
      </c>
      <c r="FV14" t="s">
        <v>199</v>
      </c>
    </row>
    <row r="15" spans="1:178" x14ac:dyDescent="0.55000000000000004">
      <c r="A15" t="s">
        <v>214</v>
      </c>
      <c r="B15">
        <v>3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>
        <v>2352.31</v>
      </c>
      <c r="J15" t="s">
        <v>185</v>
      </c>
      <c r="K15" s="6">
        <v>45668</v>
      </c>
      <c r="L15" s="6">
        <v>45681</v>
      </c>
      <c r="M15" t="s">
        <v>186</v>
      </c>
      <c r="N15" s="6">
        <v>45688</v>
      </c>
      <c r="O15" t="s">
        <v>188</v>
      </c>
      <c r="P15">
        <v>80</v>
      </c>
      <c r="Q15">
        <v>42.16</v>
      </c>
      <c r="R15">
        <v>3373.07</v>
      </c>
      <c r="S15">
        <v>10119.209999999999</v>
      </c>
      <c r="BM15" t="s">
        <v>189</v>
      </c>
      <c r="BN15">
        <v>192.69</v>
      </c>
      <c r="BO15">
        <v>579.23</v>
      </c>
      <c r="BP15" t="s">
        <v>190</v>
      </c>
      <c r="BQ15">
        <v>55.32</v>
      </c>
      <c r="BR15">
        <v>166.63</v>
      </c>
      <c r="BS15" t="s">
        <v>191</v>
      </c>
      <c r="BT15">
        <v>604.1</v>
      </c>
      <c r="BU15">
        <v>1828.09</v>
      </c>
      <c r="BV15" t="s">
        <v>192</v>
      </c>
      <c r="BW15">
        <v>0</v>
      </c>
      <c r="BX15">
        <v>14.04</v>
      </c>
      <c r="BY15" t="s">
        <v>193</v>
      </c>
      <c r="BZ15">
        <v>0</v>
      </c>
      <c r="CA15">
        <v>39.86</v>
      </c>
      <c r="CB15" t="s">
        <v>194</v>
      </c>
      <c r="CC15">
        <v>168.65</v>
      </c>
      <c r="CD15">
        <v>505.95</v>
      </c>
      <c r="DU15" t="s">
        <v>195</v>
      </c>
      <c r="DV15" t="s">
        <v>196</v>
      </c>
      <c r="DW15">
        <v>0</v>
      </c>
      <c r="DX15">
        <v>0</v>
      </c>
      <c r="DY15">
        <v>168.65</v>
      </c>
      <c r="DZ15">
        <v>505.95</v>
      </c>
      <c r="EA15" t="s">
        <v>197</v>
      </c>
      <c r="EB15">
        <v>0</v>
      </c>
      <c r="EC15">
        <v>0</v>
      </c>
      <c r="ED15">
        <v>0</v>
      </c>
      <c r="EE15">
        <v>5.4</v>
      </c>
      <c r="EF15" t="s">
        <v>198</v>
      </c>
      <c r="EG15">
        <v>0</v>
      </c>
      <c r="EH15">
        <v>0</v>
      </c>
      <c r="EI15">
        <v>0</v>
      </c>
      <c r="EJ15">
        <v>14.04</v>
      </c>
      <c r="FT15" t="s">
        <v>199</v>
      </c>
      <c r="FU15" t="s">
        <v>199</v>
      </c>
      <c r="FV15" t="s">
        <v>199</v>
      </c>
    </row>
    <row r="16" spans="1:178" x14ac:dyDescent="0.55000000000000004">
      <c r="A16" t="s">
        <v>215</v>
      </c>
      <c r="B16">
        <v>4</v>
      </c>
      <c r="C16" t="s">
        <v>179</v>
      </c>
      <c r="D16" t="s">
        <v>180</v>
      </c>
      <c r="E16" t="s">
        <v>181</v>
      </c>
      <c r="F16" t="s">
        <v>182</v>
      </c>
      <c r="G16" t="s">
        <v>183</v>
      </c>
      <c r="H16" t="s">
        <v>184</v>
      </c>
      <c r="I16">
        <v>2321.9299999999998</v>
      </c>
      <c r="J16" t="s">
        <v>185</v>
      </c>
      <c r="K16" s="6">
        <v>45682</v>
      </c>
      <c r="L16" s="6">
        <v>45695</v>
      </c>
      <c r="M16" t="s">
        <v>186</v>
      </c>
      <c r="N16" s="6">
        <v>45702</v>
      </c>
      <c r="O16" t="s">
        <v>188</v>
      </c>
      <c r="P16">
        <v>80</v>
      </c>
      <c r="Q16">
        <v>42.16</v>
      </c>
      <c r="R16">
        <v>3373.07</v>
      </c>
      <c r="S16">
        <v>13492.28</v>
      </c>
      <c r="BM16" t="s">
        <v>189</v>
      </c>
      <c r="BN16">
        <v>193.27</v>
      </c>
      <c r="BO16">
        <v>772.5</v>
      </c>
      <c r="BP16" t="s">
        <v>190</v>
      </c>
      <c r="BQ16">
        <v>55.32</v>
      </c>
      <c r="BR16">
        <v>221.95</v>
      </c>
      <c r="BS16" t="s">
        <v>191</v>
      </c>
      <c r="BT16">
        <v>606.95000000000005</v>
      </c>
      <c r="BU16">
        <v>2435.04</v>
      </c>
      <c r="BV16" t="s">
        <v>192</v>
      </c>
      <c r="BW16">
        <v>7.02</v>
      </c>
      <c r="BX16">
        <v>21.06</v>
      </c>
      <c r="BY16" t="s">
        <v>193</v>
      </c>
      <c r="BZ16">
        <v>19.93</v>
      </c>
      <c r="CA16">
        <v>59.79</v>
      </c>
      <c r="CB16" t="s">
        <v>194</v>
      </c>
      <c r="CC16">
        <v>168.65</v>
      </c>
      <c r="CD16">
        <v>674.6</v>
      </c>
      <c r="DU16" t="s">
        <v>195</v>
      </c>
      <c r="DV16" t="s">
        <v>196</v>
      </c>
      <c r="DW16">
        <v>0</v>
      </c>
      <c r="DX16">
        <v>0</v>
      </c>
      <c r="DY16">
        <v>168.65</v>
      </c>
      <c r="DZ16">
        <v>674.6</v>
      </c>
      <c r="EA16" t="s">
        <v>197</v>
      </c>
      <c r="EB16">
        <v>0</v>
      </c>
      <c r="EC16">
        <v>0</v>
      </c>
      <c r="ED16">
        <v>2.7</v>
      </c>
      <c r="EE16">
        <v>8.1</v>
      </c>
      <c r="EF16" t="s">
        <v>198</v>
      </c>
      <c r="EG16">
        <v>0</v>
      </c>
      <c r="EH16">
        <v>0</v>
      </c>
      <c r="EI16">
        <v>7.02</v>
      </c>
      <c r="EJ16">
        <v>21.06</v>
      </c>
      <c r="FT16" t="s">
        <v>199</v>
      </c>
      <c r="FU16" t="s">
        <v>199</v>
      </c>
      <c r="FV16" t="s">
        <v>199</v>
      </c>
    </row>
    <row r="17" spans="1:178" x14ac:dyDescent="0.55000000000000004">
      <c r="A17" t="s">
        <v>216</v>
      </c>
      <c r="B17">
        <v>5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184</v>
      </c>
      <c r="I17">
        <v>2321.9299999999998</v>
      </c>
      <c r="J17" t="s">
        <v>185</v>
      </c>
      <c r="K17" s="6">
        <v>45696</v>
      </c>
      <c r="L17" s="6">
        <v>45709</v>
      </c>
      <c r="M17" t="s">
        <v>186</v>
      </c>
      <c r="N17" s="6">
        <v>45716</v>
      </c>
      <c r="O17" t="s">
        <v>188</v>
      </c>
      <c r="P17">
        <v>80</v>
      </c>
      <c r="Q17">
        <v>42.16</v>
      </c>
      <c r="R17">
        <v>3373.07</v>
      </c>
      <c r="S17">
        <v>16865.349999999999</v>
      </c>
      <c r="BM17" t="s">
        <v>189</v>
      </c>
      <c r="BN17">
        <v>193.27</v>
      </c>
      <c r="BO17">
        <v>965.77</v>
      </c>
      <c r="BP17" t="s">
        <v>190</v>
      </c>
      <c r="BQ17">
        <v>55.32</v>
      </c>
      <c r="BR17">
        <v>277.27</v>
      </c>
      <c r="BS17" t="s">
        <v>191</v>
      </c>
      <c r="BT17">
        <v>606.95000000000005</v>
      </c>
      <c r="BU17">
        <v>3041.99</v>
      </c>
      <c r="BV17" t="s">
        <v>192</v>
      </c>
      <c r="BW17">
        <v>7.02</v>
      </c>
      <c r="BX17">
        <v>28.08</v>
      </c>
      <c r="BY17" t="s">
        <v>193</v>
      </c>
      <c r="BZ17">
        <v>19.93</v>
      </c>
      <c r="CA17">
        <v>79.72</v>
      </c>
      <c r="CB17" t="s">
        <v>194</v>
      </c>
      <c r="CC17">
        <v>168.65</v>
      </c>
      <c r="CD17">
        <v>843.25</v>
      </c>
      <c r="DU17" t="s">
        <v>195</v>
      </c>
      <c r="DV17" t="s">
        <v>196</v>
      </c>
      <c r="DW17">
        <v>0</v>
      </c>
      <c r="DX17">
        <v>0</v>
      </c>
      <c r="DY17">
        <v>168.65</v>
      </c>
      <c r="DZ17">
        <v>843.25</v>
      </c>
      <c r="EA17" t="s">
        <v>197</v>
      </c>
      <c r="EB17">
        <v>0</v>
      </c>
      <c r="EC17">
        <v>0</v>
      </c>
      <c r="ED17">
        <v>2.7</v>
      </c>
      <c r="EE17">
        <v>10.8</v>
      </c>
      <c r="EF17" t="s">
        <v>198</v>
      </c>
      <c r="EG17">
        <v>0</v>
      </c>
      <c r="EH17">
        <v>0</v>
      </c>
      <c r="EI17">
        <v>7.02</v>
      </c>
      <c r="EJ17">
        <v>28.08</v>
      </c>
      <c r="FT17" t="s">
        <v>199</v>
      </c>
      <c r="FU17" t="s">
        <v>199</v>
      </c>
      <c r="FV17" t="s">
        <v>199</v>
      </c>
    </row>
    <row r="18" spans="1:178" x14ac:dyDescent="0.55000000000000004">
      <c r="A18" t="s">
        <v>217</v>
      </c>
      <c r="B18">
        <v>6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>
        <v>2321.9299999999998</v>
      </c>
      <c r="J18" t="s">
        <v>185</v>
      </c>
      <c r="K18" s="6">
        <v>45710</v>
      </c>
      <c r="L18" s="6">
        <v>45723</v>
      </c>
      <c r="M18" t="s">
        <v>186</v>
      </c>
      <c r="N18" s="6">
        <v>45730</v>
      </c>
      <c r="O18" t="s">
        <v>188</v>
      </c>
      <c r="P18">
        <v>80</v>
      </c>
      <c r="Q18">
        <v>42.16</v>
      </c>
      <c r="R18">
        <v>3373.07</v>
      </c>
      <c r="S18">
        <v>20238.419999999998</v>
      </c>
      <c r="BM18" t="s">
        <v>189</v>
      </c>
      <c r="BN18">
        <v>193.27</v>
      </c>
      <c r="BO18">
        <v>1159.04</v>
      </c>
      <c r="BP18" t="s">
        <v>190</v>
      </c>
      <c r="BQ18">
        <v>55.32</v>
      </c>
      <c r="BR18">
        <v>332.59</v>
      </c>
      <c r="BS18" t="s">
        <v>191</v>
      </c>
      <c r="BT18">
        <v>606.95000000000005</v>
      </c>
      <c r="BU18">
        <v>3648.94</v>
      </c>
      <c r="BV18" t="s">
        <v>192</v>
      </c>
      <c r="BW18">
        <v>7.02</v>
      </c>
      <c r="BX18">
        <v>35.1</v>
      </c>
      <c r="BY18" t="s">
        <v>193</v>
      </c>
      <c r="BZ18">
        <v>19.93</v>
      </c>
      <c r="CA18">
        <v>99.65</v>
      </c>
      <c r="CB18" t="s">
        <v>194</v>
      </c>
      <c r="CC18">
        <v>168.65</v>
      </c>
      <c r="CD18">
        <v>1011.9</v>
      </c>
      <c r="DU18" t="s">
        <v>195</v>
      </c>
      <c r="DV18" t="s">
        <v>196</v>
      </c>
      <c r="DW18">
        <v>0</v>
      </c>
      <c r="DX18">
        <v>0</v>
      </c>
      <c r="DY18">
        <v>168.65</v>
      </c>
      <c r="DZ18">
        <v>1011.9</v>
      </c>
      <c r="EA18" t="s">
        <v>197</v>
      </c>
      <c r="EB18">
        <v>0</v>
      </c>
      <c r="EC18">
        <v>0</v>
      </c>
      <c r="ED18">
        <v>2.7</v>
      </c>
      <c r="EE18">
        <v>13.5</v>
      </c>
      <c r="EF18" t="s">
        <v>198</v>
      </c>
      <c r="EG18">
        <v>0</v>
      </c>
      <c r="EH18">
        <v>0</v>
      </c>
      <c r="EI18">
        <v>7.02</v>
      </c>
      <c r="EJ18">
        <v>35.1</v>
      </c>
      <c r="FT18" t="s">
        <v>199</v>
      </c>
      <c r="FU18" t="s">
        <v>199</v>
      </c>
      <c r="FV18" t="s">
        <v>199</v>
      </c>
    </row>
    <row r="19" spans="1:178" x14ac:dyDescent="0.55000000000000004">
      <c r="A19" t="s">
        <v>218</v>
      </c>
      <c r="B19">
        <v>7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 t="s">
        <v>184</v>
      </c>
      <c r="I19">
        <v>2321.9299999999998</v>
      </c>
      <c r="J19" t="s">
        <v>185</v>
      </c>
      <c r="K19" s="6">
        <v>45724</v>
      </c>
      <c r="L19" s="6">
        <v>45737</v>
      </c>
      <c r="M19" t="s">
        <v>186</v>
      </c>
      <c r="N19" s="6">
        <v>45744</v>
      </c>
      <c r="O19" t="s">
        <v>188</v>
      </c>
      <c r="P19">
        <v>80</v>
      </c>
      <c r="Q19">
        <v>42.16</v>
      </c>
      <c r="R19">
        <v>3373.07</v>
      </c>
      <c r="S19">
        <v>23611.49</v>
      </c>
      <c r="BM19" t="s">
        <v>189</v>
      </c>
      <c r="BN19">
        <v>193.27</v>
      </c>
      <c r="BO19">
        <v>1352.31</v>
      </c>
      <c r="BP19" t="s">
        <v>190</v>
      </c>
      <c r="BQ19">
        <v>55.32</v>
      </c>
      <c r="BR19">
        <v>387.91</v>
      </c>
      <c r="BS19" t="s">
        <v>191</v>
      </c>
      <c r="BT19">
        <v>606.95000000000005</v>
      </c>
      <c r="BU19">
        <v>4255.8900000000003</v>
      </c>
      <c r="BV19" t="s">
        <v>192</v>
      </c>
      <c r="BW19">
        <v>7.02</v>
      </c>
      <c r="BX19">
        <v>42.12</v>
      </c>
      <c r="BY19" t="s">
        <v>193</v>
      </c>
      <c r="BZ19">
        <v>19.93</v>
      </c>
      <c r="CA19">
        <v>119.58</v>
      </c>
      <c r="CB19" t="s">
        <v>194</v>
      </c>
      <c r="CC19">
        <v>168.65</v>
      </c>
      <c r="CD19">
        <v>1180.55</v>
      </c>
      <c r="DU19" t="s">
        <v>195</v>
      </c>
      <c r="DV19" t="s">
        <v>196</v>
      </c>
      <c r="DW19">
        <v>0</v>
      </c>
      <c r="DX19">
        <v>0</v>
      </c>
      <c r="DY19">
        <v>168.65</v>
      </c>
      <c r="DZ19">
        <v>1180.55</v>
      </c>
      <c r="EA19" t="s">
        <v>197</v>
      </c>
      <c r="EB19">
        <v>0</v>
      </c>
      <c r="EC19">
        <v>0</v>
      </c>
      <c r="ED19">
        <v>2.7</v>
      </c>
      <c r="EE19">
        <v>16.2</v>
      </c>
      <c r="EF19" t="s">
        <v>198</v>
      </c>
      <c r="EG19">
        <v>0</v>
      </c>
      <c r="EH19">
        <v>0</v>
      </c>
      <c r="EI19">
        <v>7.02</v>
      </c>
      <c r="EJ19">
        <v>42.12</v>
      </c>
      <c r="FT19" t="s">
        <v>199</v>
      </c>
      <c r="FU19" t="s">
        <v>199</v>
      </c>
      <c r="FV19" t="s">
        <v>199</v>
      </c>
    </row>
    <row r="20" spans="1:178" x14ac:dyDescent="0.55000000000000004">
      <c r="A20" t="s">
        <v>219</v>
      </c>
      <c r="B20">
        <v>8</v>
      </c>
      <c r="C20" t="s">
        <v>179</v>
      </c>
      <c r="D20" t="s">
        <v>180</v>
      </c>
      <c r="E20" t="s">
        <v>181</v>
      </c>
      <c r="F20" t="s">
        <v>182</v>
      </c>
      <c r="G20" t="s">
        <v>183</v>
      </c>
      <c r="H20" t="s">
        <v>184</v>
      </c>
      <c r="I20">
        <v>2321.9299999999998</v>
      </c>
      <c r="J20" t="s">
        <v>185</v>
      </c>
      <c r="K20" s="6">
        <v>45738</v>
      </c>
      <c r="L20" s="6">
        <v>45751</v>
      </c>
      <c r="M20" t="s">
        <v>186</v>
      </c>
      <c r="N20" s="6">
        <v>45758</v>
      </c>
      <c r="O20" t="s">
        <v>188</v>
      </c>
      <c r="P20">
        <v>80</v>
      </c>
      <c r="Q20">
        <v>42.16</v>
      </c>
      <c r="R20">
        <v>3373.07</v>
      </c>
      <c r="S20">
        <v>26984.560000000001</v>
      </c>
      <c r="BM20" t="s">
        <v>189</v>
      </c>
      <c r="BN20">
        <v>193.27</v>
      </c>
      <c r="BO20">
        <v>1545.58</v>
      </c>
      <c r="BP20" t="s">
        <v>190</v>
      </c>
      <c r="BQ20">
        <v>55.32</v>
      </c>
      <c r="BR20">
        <v>443.23</v>
      </c>
      <c r="BS20" t="s">
        <v>191</v>
      </c>
      <c r="BT20">
        <v>606.95000000000005</v>
      </c>
      <c r="BU20">
        <v>4862.84</v>
      </c>
      <c r="BV20" t="s">
        <v>192</v>
      </c>
      <c r="BW20">
        <v>7.02</v>
      </c>
      <c r="BX20">
        <v>49.14</v>
      </c>
      <c r="BY20" t="s">
        <v>193</v>
      </c>
      <c r="BZ20">
        <v>19.93</v>
      </c>
      <c r="CA20">
        <v>139.51</v>
      </c>
      <c r="CB20" t="s">
        <v>194</v>
      </c>
      <c r="CC20">
        <v>168.65</v>
      </c>
      <c r="CD20">
        <v>1349.2</v>
      </c>
      <c r="DU20" t="s">
        <v>195</v>
      </c>
      <c r="DV20" t="s">
        <v>196</v>
      </c>
      <c r="DW20">
        <v>0</v>
      </c>
      <c r="DX20">
        <v>0</v>
      </c>
      <c r="DY20">
        <v>168.65</v>
      </c>
      <c r="DZ20">
        <v>1349.2</v>
      </c>
      <c r="EA20" t="s">
        <v>197</v>
      </c>
      <c r="EB20">
        <v>0</v>
      </c>
      <c r="EC20">
        <v>0</v>
      </c>
      <c r="ED20">
        <v>2.7</v>
      </c>
      <c r="EE20">
        <v>18.899999999999999</v>
      </c>
      <c r="EF20" t="s">
        <v>198</v>
      </c>
      <c r="EG20">
        <v>0</v>
      </c>
      <c r="EH20">
        <v>0</v>
      </c>
      <c r="EI20">
        <v>7.02</v>
      </c>
      <c r="EJ20">
        <v>49.14</v>
      </c>
      <c r="FT20" t="s">
        <v>199</v>
      </c>
      <c r="FU20" t="s">
        <v>199</v>
      </c>
      <c r="FV20" t="s">
        <v>199</v>
      </c>
    </row>
    <row r="21" spans="1:178" x14ac:dyDescent="0.55000000000000004">
      <c r="A21" t="s">
        <v>220</v>
      </c>
      <c r="B21">
        <v>8</v>
      </c>
      <c r="C21" t="s">
        <v>221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>
        <v>4314.8500000000004</v>
      </c>
      <c r="J21" t="s">
        <v>185</v>
      </c>
      <c r="K21" s="6">
        <v>45738</v>
      </c>
      <c r="L21" s="6">
        <v>45751</v>
      </c>
      <c r="M21" t="s">
        <v>186</v>
      </c>
      <c r="N21" s="6">
        <v>45758</v>
      </c>
      <c r="O21" t="s">
        <v>187</v>
      </c>
      <c r="P21">
        <v>0</v>
      </c>
      <c r="Q21">
        <v>0</v>
      </c>
      <c r="R21">
        <v>7020</v>
      </c>
      <c r="S21">
        <v>7020</v>
      </c>
      <c r="T21" t="s">
        <v>188</v>
      </c>
      <c r="U21">
        <v>0</v>
      </c>
      <c r="V21">
        <v>0</v>
      </c>
      <c r="W21">
        <v>0</v>
      </c>
      <c r="X21">
        <v>26984.560000000001</v>
      </c>
      <c r="BM21" t="s">
        <v>189</v>
      </c>
      <c r="BN21">
        <v>417.69</v>
      </c>
      <c r="BO21">
        <v>1963.27</v>
      </c>
      <c r="BP21" t="s">
        <v>190</v>
      </c>
      <c r="BQ21">
        <v>115.13</v>
      </c>
      <c r="BR21">
        <v>558.36</v>
      </c>
      <c r="BS21" t="s">
        <v>191</v>
      </c>
      <c r="BT21">
        <v>2172.33</v>
      </c>
      <c r="BU21">
        <v>7035.17</v>
      </c>
      <c r="BV21" t="s">
        <v>192</v>
      </c>
      <c r="BW21">
        <v>0</v>
      </c>
      <c r="BX21">
        <v>49.14</v>
      </c>
      <c r="BY21" t="s">
        <v>193</v>
      </c>
      <c r="BZ21">
        <v>0</v>
      </c>
      <c r="CA21">
        <v>139.51</v>
      </c>
      <c r="CB21" t="s">
        <v>194</v>
      </c>
      <c r="CC21">
        <v>0</v>
      </c>
      <c r="CD21">
        <v>1349.2</v>
      </c>
      <c r="DU21" t="s">
        <v>222</v>
      </c>
      <c r="DV21" t="s">
        <v>196</v>
      </c>
      <c r="DW21">
        <v>0</v>
      </c>
      <c r="DX21">
        <v>0</v>
      </c>
      <c r="DY21">
        <v>0</v>
      </c>
      <c r="DZ21">
        <v>1349.2</v>
      </c>
      <c r="EA21" t="s">
        <v>197</v>
      </c>
      <c r="EB21">
        <v>0</v>
      </c>
      <c r="EC21">
        <v>0</v>
      </c>
      <c r="ED21">
        <v>0</v>
      </c>
      <c r="EE21">
        <v>18.899999999999999</v>
      </c>
      <c r="EF21" t="s">
        <v>198</v>
      </c>
      <c r="EG21">
        <v>0</v>
      </c>
      <c r="EH21">
        <v>0</v>
      </c>
      <c r="EI21">
        <v>0</v>
      </c>
      <c r="EJ21">
        <v>49.14</v>
      </c>
      <c r="FT21" t="s">
        <v>199</v>
      </c>
      <c r="FU21" t="s">
        <v>199</v>
      </c>
      <c r="FV21" t="s">
        <v>199</v>
      </c>
    </row>
    <row r="22" spans="1:178" x14ac:dyDescent="0.55000000000000004">
      <c r="A22" t="s">
        <v>223</v>
      </c>
      <c r="B22">
        <v>9</v>
      </c>
      <c r="C22" t="s">
        <v>179</v>
      </c>
      <c r="D22" t="s">
        <v>180</v>
      </c>
      <c r="E22" t="s">
        <v>181</v>
      </c>
      <c r="F22" t="s">
        <v>182</v>
      </c>
      <c r="G22" t="s">
        <v>183</v>
      </c>
      <c r="H22" t="s">
        <v>184</v>
      </c>
      <c r="I22">
        <v>2321.9299999999998</v>
      </c>
      <c r="J22" t="s">
        <v>185</v>
      </c>
      <c r="K22" s="6">
        <v>45752</v>
      </c>
      <c r="L22" s="6">
        <v>45765</v>
      </c>
      <c r="M22" t="s">
        <v>186</v>
      </c>
      <c r="N22" s="6">
        <v>45772</v>
      </c>
      <c r="O22" t="s">
        <v>187</v>
      </c>
      <c r="P22">
        <v>0</v>
      </c>
      <c r="Q22">
        <v>0</v>
      </c>
      <c r="R22">
        <v>0</v>
      </c>
      <c r="S22">
        <v>7020</v>
      </c>
      <c r="T22" t="s">
        <v>188</v>
      </c>
      <c r="U22">
        <v>80</v>
      </c>
      <c r="V22">
        <v>42.16</v>
      </c>
      <c r="W22">
        <v>3373.07</v>
      </c>
      <c r="X22">
        <v>30357.63</v>
      </c>
      <c r="BM22" t="s">
        <v>189</v>
      </c>
      <c r="BN22">
        <v>193.27</v>
      </c>
      <c r="BO22">
        <v>2156.54</v>
      </c>
      <c r="BP22" t="s">
        <v>190</v>
      </c>
      <c r="BQ22">
        <v>55.32</v>
      </c>
      <c r="BR22">
        <v>613.67999999999995</v>
      </c>
      <c r="BS22" t="s">
        <v>191</v>
      </c>
      <c r="BT22">
        <v>606.95000000000005</v>
      </c>
      <c r="BU22">
        <v>7642.12</v>
      </c>
      <c r="BV22" t="s">
        <v>192</v>
      </c>
      <c r="BW22">
        <v>7.02</v>
      </c>
      <c r="BX22">
        <v>56.16</v>
      </c>
      <c r="BY22" t="s">
        <v>193</v>
      </c>
      <c r="BZ22">
        <v>19.93</v>
      </c>
      <c r="CA22">
        <v>159.44</v>
      </c>
      <c r="CB22" t="s">
        <v>194</v>
      </c>
      <c r="CC22">
        <v>168.65</v>
      </c>
      <c r="CD22">
        <v>1517.85</v>
      </c>
      <c r="DU22" t="s">
        <v>195</v>
      </c>
      <c r="DV22" t="s">
        <v>196</v>
      </c>
      <c r="DW22">
        <v>0</v>
      </c>
      <c r="DX22">
        <v>0</v>
      </c>
      <c r="DY22">
        <v>168.65</v>
      </c>
      <c r="DZ22">
        <v>1517.85</v>
      </c>
      <c r="EA22" t="s">
        <v>197</v>
      </c>
      <c r="EB22">
        <v>0</v>
      </c>
      <c r="EC22">
        <v>0</v>
      </c>
      <c r="ED22">
        <v>2.7</v>
      </c>
      <c r="EE22">
        <v>21.6</v>
      </c>
      <c r="EF22" t="s">
        <v>198</v>
      </c>
      <c r="EG22">
        <v>0</v>
      </c>
      <c r="EH22">
        <v>0</v>
      </c>
      <c r="EI22">
        <v>7.02</v>
      </c>
      <c r="EJ22">
        <v>56.16</v>
      </c>
      <c r="FT22" t="s">
        <v>199</v>
      </c>
      <c r="FU22" t="s">
        <v>199</v>
      </c>
      <c r="FV22" t="s">
        <v>199</v>
      </c>
    </row>
    <row r="23" spans="1:178" x14ac:dyDescent="0.55000000000000004">
      <c r="A23" t="s">
        <v>224</v>
      </c>
      <c r="B23">
        <v>10</v>
      </c>
      <c r="C23" t="s">
        <v>179</v>
      </c>
      <c r="D23" t="s">
        <v>180</v>
      </c>
      <c r="E23" t="s">
        <v>181</v>
      </c>
      <c r="F23" t="s">
        <v>182</v>
      </c>
      <c r="G23" t="s">
        <v>183</v>
      </c>
      <c r="H23" t="s">
        <v>184</v>
      </c>
      <c r="I23">
        <v>2461.62</v>
      </c>
      <c r="J23" t="s">
        <v>185</v>
      </c>
      <c r="K23" s="6">
        <v>45766</v>
      </c>
      <c r="L23" s="6">
        <v>45779</v>
      </c>
      <c r="M23" t="s">
        <v>186</v>
      </c>
      <c r="N23" s="6">
        <v>45786</v>
      </c>
      <c r="O23" t="s">
        <v>187</v>
      </c>
      <c r="P23">
        <v>0</v>
      </c>
      <c r="Q23">
        <v>0</v>
      </c>
      <c r="R23">
        <v>0</v>
      </c>
      <c r="S23">
        <v>7020</v>
      </c>
      <c r="T23" t="s">
        <v>188</v>
      </c>
      <c r="U23">
        <v>80</v>
      </c>
      <c r="V23">
        <v>45.1</v>
      </c>
      <c r="W23">
        <v>3607.69</v>
      </c>
      <c r="X23">
        <v>33965.32</v>
      </c>
      <c r="BM23" t="s">
        <v>189</v>
      </c>
      <c r="BN23">
        <v>207.23</v>
      </c>
      <c r="BO23">
        <v>2363.77</v>
      </c>
      <c r="BP23" t="s">
        <v>190</v>
      </c>
      <c r="BQ23">
        <v>59.17</v>
      </c>
      <c r="BR23">
        <v>672.85</v>
      </c>
      <c r="BS23" t="s">
        <v>191</v>
      </c>
      <c r="BT23">
        <v>672.34</v>
      </c>
      <c r="BU23">
        <v>8314.4599999999991</v>
      </c>
      <c r="BV23" t="s">
        <v>192</v>
      </c>
      <c r="BW23">
        <v>7.02</v>
      </c>
      <c r="BX23">
        <v>63.18</v>
      </c>
      <c r="BY23" t="s">
        <v>193</v>
      </c>
      <c r="BZ23">
        <v>19.93</v>
      </c>
      <c r="CA23">
        <v>179.37</v>
      </c>
      <c r="CB23" t="s">
        <v>194</v>
      </c>
      <c r="CC23">
        <v>180.38</v>
      </c>
      <c r="CD23">
        <v>1698.23</v>
      </c>
      <c r="DU23" t="s">
        <v>195</v>
      </c>
      <c r="DV23" t="s">
        <v>196</v>
      </c>
      <c r="DW23">
        <v>0</v>
      </c>
      <c r="DX23">
        <v>0</v>
      </c>
      <c r="DY23">
        <v>180.38</v>
      </c>
      <c r="DZ23">
        <v>1698.23</v>
      </c>
      <c r="EA23" t="s">
        <v>197</v>
      </c>
      <c r="EB23">
        <v>0</v>
      </c>
      <c r="EC23">
        <v>0</v>
      </c>
      <c r="ED23">
        <v>2.7</v>
      </c>
      <c r="EE23">
        <v>24.3</v>
      </c>
      <c r="EF23" t="s">
        <v>198</v>
      </c>
      <c r="EG23">
        <v>0</v>
      </c>
      <c r="EH23">
        <v>0</v>
      </c>
      <c r="EI23">
        <v>7.02</v>
      </c>
      <c r="EJ23">
        <v>63.18</v>
      </c>
      <c r="FT23" t="s">
        <v>199</v>
      </c>
      <c r="FU23" t="s">
        <v>199</v>
      </c>
      <c r="FV23" t="s">
        <v>199</v>
      </c>
    </row>
    <row r="24" spans="1:178" x14ac:dyDescent="0.55000000000000004">
      <c r="A24" t="s">
        <v>225</v>
      </c>
      <c r="B24">
        <v>11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>
        <v>2461.62</v>
      </c>
      <c r="J24" t="s">
        <v>185</v>
      </c>
      <c r="K24" s="6">
        <v>45780</v>
      </c>
      <c r="L24" s="6">
        <v>45793</v>
      </c>
      <c r="M24" t="s">
        <v>186</v>
      </c>
      <c r="N24" s="6">
        <v>45800</v>
      </c>
      <c r="O24" t="s">
        <v>187</v>
      </c>
      <c r="P24">
        <v>0</v>
      </c>
      <c r="Q24">
        <v>0</v>
      </c>
      <c r="R24">
        <v>0</v>
      </c>
      <c r="S24">
        <v>7020</v>
      </c>
      <c r="T24" t="s">
        <v>188</v>
      </c>
      <c r="U24">
        <v>80</v>
      </c>
      <c r="V24">
        <v>45.1</v>
      </c>
      <c r="W24">
        <v>3607.69</v>
      </c>
      <c r="X24">
        <v>37573.01</v>
      </c>
      <c r="BM24" t="s">
        <v>189</v>
      </c>
      <c r="BN24">
        <v>207.23</v>
      </c>
      <c r="BO24">
        <v>2571</v>
      </c>
      <c r="BP24" t="s">
        <v>190</v>
      </c>
      <c r="BQ24">
        <v>59.17</v>
      </c>
      <c r="BR24">
        <v>732.02</v>
      </c>
      <c r="BS24" t="s">
        <v>191</v>
      </c>
      <c r="BT24">
        <v>672.34</v>
      </c>
      <c r="BU24">
        <v>8986.7999999999993</v>
      </c>
      <c r="BV24" t="s">
        <v>192</v>
      </c>
      <c r="BW24">
        <v>7.02</v>
      </c>
      <c r="BX24">
        <v>70.2</v>
      </c>
      <c r="BY24" t="s">
        <v>193</v>
      </c>
      <c r="BZ24">
        <v>19.93</v>
      </c>
      <c r="CA24">
        <v>199.3</v>
      </c>
      <c r="CB24" t="s">
        <v>194</v>
      </c>
      <c r="CC24">
        <v>180.38</v>
      </c>
      <c r="CD24">
        <v>1878.61</v>
      </c>
      <c r="DU24" t="s">
        <v>195</v>
      </c>
      <c r="DV24" t="s">
        <v>196</v>
      </c>
      <c r="DW24">
        <v>0</v>
      </c>
      <c r="DX24">
        <v>0</v>
      </c>
      <c r="DY24">
        <v>180.38</v>
      </c>
      <c r="DZ24">
        <v>1878.61</v>
      </c>
      <c r="EA24" t="s">
        <v>197</v>
      </c>
      <c r="EB24">
        <v>0</v>
      </c>
      <c r="EC24">
        <v>0</v>
      </c>
      <c r="ED24">
        <v>2.7</v>
      </c>
      <c r="EE24">
        <v>27</v>
      </c>
      <c r="EF24" t="s">
        <v>198</v>
      </c>
      <c r="EG24">
        <v>0</v>
      </c>
      <c r="EH24">
        <v>0</v>
      </c>
      <c r="EI24">
        <v>7.02</v>
      </c>
      <c r="EJ24">
        <v>70.2</v>
      </c>
      <c r="FT24" t="s">
        <v>199</v>
      </c>
      <c r="FU24" t="s">
        <v>199</v>
      </c>
      <c r="FV24" t="s">
        <v>199</v>
      </c>
    </row>
    <row r="25" spans="1:178" x14ac:dyDescent="0.55000000000000004">
      <c r="A25" t="s">
        <v>226</v>
      </c>
      <c r="B25">
        <v>12</v>
      </c>
      <c r="C25" t="s">
        <v>179</v>
      </c>
      <c r="D25" t="s">
        <v>180</v>
      </c>
      <c r="E25" t="s">
        <v>181</v>
      </c>
      <c r="F25" t="s">
        <v>182</v>
      </c>
      <c r="G25" t="s">
        <v>183</v>
      </c>
      <c r="H25" t="s">
        <v>184</v>
      </c>
      <c r="I25">
        <v>2459.2800000000002</v>
      </c>
      <c r="J25" t="s">
        <v>185</v>
      </c>
      <c r="K25" s="6">
        <v>45794</v>
      </c>
      <c r="L25" s="6">
        <v>45807</v>
      </c>
      <c r="M25" t="s">
        <v>186</v>
      </c>
      <c r="N25" s="6">
        <v>45814</v>
      </c>
      <c r="O25" t="s">
        <v>187</v>
      </c>
      <c r="P25">
        <v>0</v>
      </c>
      <c r="Q25">
        <v>0</v>
      </c>
      <c r="R25">
        <v>0</v>
      </c>
      <c r="S25">
        <v>7020</v>
      </c>
      <c r="T25" t="s">
        <v>188</v>
      </c>
      <c r="U25">
        <v>80</v>
      </c>
      <c r="V25">
        <v>45.1</v>
      </c>
      <c r="W25">
        <v>3607.69</v>
      </c>
      <c r="X25">
        <v>41180.699999999997</v>
      </c>
      <c r="BM25" t="s">
        <v>189</v>
      </c>
      <c r="BN25">
        <v>207.23</v>
      </c>
      <c r="BO25">
        <v>2778.23</v>
      </c>
      <c r="BP25" t="s">
        <v>190</v>
      </c>
      <c r="BQ25">
        <v>59.17</v>
      </c>
      <c r="BR25">
        <v>791.19</v>
      </c>
      <c r="BS25" t="s">
        <v>191</v>
      </c>
      <c r="BT25">
        <v>672.34</v>
      </c>
      <c r="BU25">
        <v>9659.14</v>
      </c>
      <c r="BV25" t="s">
        <v>192</v>
      </c>
      <c r="BW25">
        <v>7.02</v>
      </c>
      <c r="BX25">
        <v>77.22</v>
      </c>
      <c r="BY25" t="s">
        <v>193</v>
      </c>
      <c r="BZ25">
        <v>22.27</v>
      </c>
      <c r="CA25">
        <v>221.57</v>
      </c>
      <c r="CB25" t="s">
        <v>194</v>
      </c>
      <c r="CC25">
        <v>180.38</v>
      </c>
      <c r="CD25">
        <v>2058.9899999999998</v>
      </c>
      <c r="DU25" t="s">
        <v>195</v>
      </c>
      <c r="DV25" t="s">
        <v>196</v>
      </c>
      <c r="DW25">
        <v>0</v>
      </c>
      <c r="DX25">
        <v>0</v>
      </c>
      <c r="DY25">
        <v>180.38</v>
      </c>
      <c r="DZ25">
        <v>2058.9899999999998</v>
      </c>
      <c r="EA25" t="s">
        <v>197</v>
      </c>
      <c r="EB25">
        <v>0</v>
      </c>
      <c r="EC25">
        <v>0</v>
      </c>
      <c r="ED25">
        <v>2.7</v>
      </c>
      <c r="EE25">
        <v>29.7</v>
      </c>
      <c r="EF25" t="s">
        <v>198</v>
      </c>
      <c r="EG25">
        <v>0</v>
      </c>
      <c r="EH25">
        <v>0</v>
      </c>
      <c r="EI25">
        <v>7.02</v>
      </c>
      <c r="EJ25">
        <v>77.22</v>
      </c>
      <c r="FT25" t="s">
        <v>199</v>
      </c>
      <c r="FU25" t="s">
        <v>199</v>
      </c>
      <c r="FV25" t="s">
        <v>199</v>
      </c>
    </row>
    <row r="26" spans="1:178" x14ac:dyDescent="0.55000000000000004">
      <c r="A26" t="s">
        <v>227</v>
      </c>
      <c r="B26">
        <v>13</v>
      </c>
      <c r="C26" t="s">
        <v>179</v>
      </c>
      <c r="D26" t="s">
        <v>180</v>
      </c>
      <c r="E26" t="s">
        <v>181</v>
      </c>
      <c r="F26" t="s">
        <v>182</v>
      </c>
      <c r="G26" t="s">
        <v>183</v>
      </c>
      <c r="H26" t="s">
        <v>184</v>
      </c>
      <c r="I26">
        <v>2459.2800000000002</v>
      </c>
      <c r="J26" t="s">
        <v>185</v>
      </c>
      <c r="K26" s="6">
        <v>45808</v>
      </c>
      <c r="L26" s="6">
        <v>45821</v>
      </c>
      <c r="M26" t="s">
        <v>186</v>
      </c>
      <c r="N26" s="6">
        <v>45828</v>
      </c>
      <c r="O26" t="s">
        <v>187</v>
      </c>
      <c r="P26">
        <v>0</v>
      </c>
      <c r="Q26">
        <v>0</v>
      </c>
      <c r="R26">
        <v>0</v>
      </c>
      <c r="S26">
        <v>7020</v>
      </c>
      <c r="T26" t="s">
        <v>188</v>
      </c>
      <c r="U26">
        <v>80</v>
      </c>
      <c r="V26">
        <v>45.1</v>
      </c>
      <c r="W26">
        <v>3607.69</v>
      </c>
      <c r="X26">
        <v>44788.39</v>
      </c>
      <c r="BM26" t="s">
        <v>189</v>
      </c>
      <c r="BN26">
        <v>207.23</v>
      </c>
      <c r="BO26">
        <v>2985.46</v>
      </c>
      <c r="BP26" t="s">
        <v>190</v>
      </c>
      <c r="BQ26">
        <v>59.17</v>
      </c>
      <c r="BR26">
        <v>850.36</v>
      </c>
      <c r="BS26" t="s">
        <v>191</v>
      </c>
      <c r="BT26">
        <v>672.34</v>
      </c>
      <c r="BU26">
        <v>10331.48</v>
      </c>
      <c r="BV26" t="s">
        <v>192</v>
      </c>
      <c r="BW26">
        <v>7.02</v>
      </c>
      <c r="BX26">
        <v>84.24</v>
      </c>
      <c r="BY26" t="s">
        <v>193</v>
      </c>
      <c r="BZ26">
        <v>22.27</v>
      </c>
      <c r="CA26">
        <v>243.84</v>
      </c>
      <c r="CB26" t="s">
        <v>194</v>
      </c>
      <c r="CC26">
        <v>180.38</v>
      </c>
      <c r="CD26">
        <v>2239.37</v>
      </c>
      <c r="DU26" t="s">
        <v>195</v>
      </c>
      <c r="DV26" t="s">
        <v>196</v>
      </c>
      <c r="DW26">
        <v>0</v>
      </c>
      <c r="DX26">
        <v>0</v>
      </c>
      <c r="DY26">
        <v>180.38</v>
      </c>
      <c r="DZ26">
        <v>2239.37</v>
      </c>
      <c r="EA26" t="s">
        <v>197</v>
      </c>
      <c r="EB26">
        <v>0</v>
      </c>
      <c r="EC26">
        <v>0</v>
      </c>
      <c r="ED26">
        <v>2.7</v>
      </c>
      <c r="EE26">
        <v>32.4</v>
      </c>
      <c r="EF26" t="s">
        <v>198</v>
      </c>
      <c r="EG26">
        <v>0</v>
      </c>
      <c r="EH26">
        <v>0</v>
      </c>
      <c r="EI26">
        <v>7.02</v>
      </c>
      <c r="EJ26">
        <v>84.24</v>
      </c>
      <c r="FT26" t="s">
        <v>199</v>
      </c>
      <c r="FU26" t="s">
        <v>199</v>
      </c>
      <c r="FV26" t="s">
        <v>199</v>
      </c>
    </row>
    <row r="27" spans="1:178" x14ac:dyDescent="0.55000000000000004">
      <c r="A27" t="s">
        <v>228</v>
      </c>
      <c r="B27">
        <v>14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>
        <v>2474.0100000000002</v>
      </c>
      <c r="J27" t="s">
        <v>185</v>
      </c>
      <c r="K27" s="6">
        <v>45822</v>
      </c>
      <c r="L27" s="6">
        <v>45835</v>
      </c>
      <c r="M27" t="s">
        <v>186</v>
      </c>
      <c r="N27" s="6">
        <v>45842</v>
      </c>
      <c r="O27" t="s">
        <v>187</v>
      </c>
      <c r="P27">
        <v>0</v>
      </c>
      <c r="Q27">
        <v>0</v>
      </c>
      <c r="R27">
        <v>0</v>
      </c>
      <c r="S27">
        <v>7020</v>
      </c>
      <c r="T27" t="s">
        <v>188</v>
      </c>
      <c r="U27">
        <v>80</v>
      </c>
      <c r="V27">
        <v>45.1</v>
      </c>
      <c r="W27">
        <v>3607.69</v>
      </c>
      <c r="X27">
        <v>48396.08</v>
      </c>
      <c r="BM27" t="s">
        <v>189</v>
      </c>
      <c r="BN27">
        <v>207.23</v>
      </c>
      <c r="BO27">
        <v>3192.69</v>
      </c>
      <c r="BP27" t="s">
        <v>190</v>
      </c>
      <c r="BQ27">
        <v>59.17</v>
      </c>
      <c r="BR27">
        <v>909.53</v>
      </c>
      <c r="BS27" t="s">
        <v>191</v>
      </c>
      <c r="BT27">
        <v>658.78</v>
      </c>
      <c r="BU27">
        <v>10990.26</v>
      </c>
      <c r="BV27" t="s">
        <v>192</v>
      </c>
      <c r="BW27">
        <v>7.02</v>
      </c>
      <c r="BX27">
        <v>91.26</v>
      </c>
      <c r="BY27" t="s">
        <v>193</v>
      </c>
      <c r="BZ27">
        <v>21.1</v>
      </c>
      <c r="CA27">
        <v>264.94</v>
      </c>
      <c r="CB27" t="s">
        <v>194</v>
      </c>
      <c r="CC27">
        <v>180.38</v>
      </c>
      <c r="CD27">
        <v>2419.75</v>
      </c>
      <c r="DU27" t="s">
        <v>195</v>
      </c>
      <c r="DV27" t="s">
        <v>196</v>
      </c>
      <c r="DW27">
        <v>0</v>
      </c>
      <c r="DX27">
        <v>0</v>
      </c>
      <c r="DY27">
        <v>180.38</v>
      </c>
      <c r="DZ27">
        <v>2419.75</v>
      </c>
      <c r="EA27" t="s">
        <v>197</v>
      </c>
      <c r="EB27">
        <v>0</v>
      </c>
      <c r="EC27">
        <v>0</v>
      </c>
      <c r="ED27">
        <v>2.7</v>
      </c>
      <c r="EE27">
        <v>35.1</v>
      </c>
      <c r="EF27" t="s">
        <v>198</v>
      </c>
      <c r="EG27">
        <v>0</v>
      </c>
      <c r="EH27">
        <v>0</v>
      </c>
      <c r="EI27">
        <v>7.02</v>
      </c>
      <c r="EJ27">
        <v>91.26</v>
      </c>
      <c r="FT27" t="s">
        <v>199</v>
      </c>
      <c r="FU27" t="s">
        <v>199</v>
      </c>
      <c r="FV27" t="s">
        <v>199</v>
      </c>
    </row>
    <row r="28" spans="1:178" x14ac:dyDescent="0.55000000000000004">
      <c r="A28" t="s">
        <v>229</v>
      </c>
      <c r="B28">
        <v>15</v>
      </c>
      <c r="C28" t="s">
        <v>179</v>
      </c>
      <c r="D28" t="s">
        <v>180</v>
      </c>
      <c r="E28" t="s">
        <v>181</v>
      </c>
      <c r="F28" t="s">
        <v>182</v>
      </c>
      <c r="G28" t="s">
        <v>183</v>
      </c>
      <c r="H28" t="s">
        <v>184</v>
      </c>
      <c r="I28">
        <v>2474.0100000000002</v>
      </c>
      <c r="J28" t="s">
        <v>185</v>
      </c>
      <c r="K28" s="6">
        <v>45836</v>
      </c>
      <c r="L28" s="6">
        <v>45849</v>
      </c>
      <c r="M28" t="s">
        <v>186</v>
      </c>
      <c r="N28" s="6">
        <v>45856</v>
      </c>
      <c r="O28" t="s">
        <v>187</v>
      </c>
      <c r="P28">
        <v>0</v>
      </c>
      <c r="Q28">
        <v>0</v>
      </c>
      <c r="R28">
        <v>0</v>
      </c>
      <c r="S28">
        <v>7020</v>
      </c>
      <c r="T28" t="s">
        <v>188</v>
      </c>
      <c r="U28">
        <v>80</v>
      </c>
      <c r="V28">
        <v>45.1</v>
      </c>
      <c r="W28">
        <v>3607.69</v>
      </c>
      <c r="X28">
        <v>52003.77</v>
      </c>
      <c r="BM28" t="s">
        <v>189</v>
      </c>
      <c r="BN28">
        <v>207.23</v>
      </c>
      <c r="BO28">
        <v>3399.92</v>
      </c>
      <c r="BP28" t="s">
        <v>190</v>
      </c>
      <c r="BQ28">
        <v>59.17</v>
      </c>
      <c r="BR28">
        <v>968.7</v>
      </c>
      <c r="BS28" t="s">
        <v>191</v>
      </c>
      <c r="BT28">
        <v>658.78</v>
      </c>
      <c r="BU28">
        <v>11649.04</v>
      </c>
      <c r="BV28" t="s">
        <v>192</v>
      </c>
      <c r="BW28">
        <v>7.02</v>
      </c>
      <c r="BX28">
        <v>98.28</v>
      </c>
      <c r="BY28" t="s">
        <v>193</v>
      </c>
      <c r="BZ28">
        <v>21.1</v>
      </c>
      <c r="CA28">
        <v>286.04000000000002</v>
      </c>
      <c r="CB28" t="s">
        <v>194</v>
      </c>
      <c r="CC28">
        <v>180.38</v>
      </c>
      <c r="CD28">
        <v>2600.13</v>
      </c>
      <c r="DU28" t="s">
        <v>195</v>
      </c>
      <c r="DV28" t="s">
        <v>196</v>
      </c>
      <c r="DW28">
        <v>0</v>
      </c>
      <c r="DX28">
        <v>0</v>
      </c>
      <c r="DY28">
        <v>180.38</v>
      </c>
      <c r="DZ28">
        <v>2600.13</v>
      </c>
      <c r="EA28" t="s">
        <v>197</v>
      </c>
      <c r="EB28">
        <v>0</v>
      </c>
      <c r="EC28">
        <v>0</v>
      </c>
      <c r="ED28">
        <v>2.7</v>
      </c>
      <c r="EE28">
        <v>37.799999999999997</v>
      </c>
      <c r="EF28" t="s">
        <v>198</v>
      </c>
      <c r="EG28">
        <v>0</v>
      </c>
      <c r="EH28">
        <v>0</v>
      </c>
      <c r="EI28">
        <v>7.02</v>
      </c>
      <c r="EJ28">
        <v>98.28</v>
      </c>
      <c r="FT28" t="s">
        <v>199</v>
      </c>
      <c r="FU28" t="s">
        <v>199</v>
      </c>
      <c r="FV28" t="s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selection activeCell="D1" sqref="D1"/>
    </sheetView>
  </sheetViews>
  <sheetFormatPr defaultRowHeight="14.4" x14ac:dyDescent="0.55000000000000004"/>
  <cols>
    <col min="1" max="1" width="19.68359375" customWidth="1"/>
    <col min="2" max="2" width="10.47265625" bestFit="1" customWidth="1"/>
    <col min="3" max="3" width="10.15625" style="1" bestFit="1" customWidth="1"/>
    <col min="4" max="4" width="9.62890625" style="4" bestFit="1" customWidth="1"/>
    <col min="5" max="5" width="11.68359375" style="4" bestFit="1" customWidth="1"/>
    <col min="6" max="6" width="10" style="4" bestFit="1" customWidth="1"/>
    <col min="7" max="7" width="9.9453125" style="4" bestFit="1" customWidth="1"/>
    <col min="8" max="8" width="22.1015625" style="4" bestFit="1" customWidth="1"/>
    <col min="9" max="9" width="22.05078125" style="4" bestFit="1" customWidth="1"/>
    <col min="10" max="10" width="10" style="4" bestFit="1" customWidth="1"/>
  </cols>
  <sheetData>
    <row r="1" spans="1:10" x14ac:dyDescent="0.55000000000000004">
      <c r="C1" s="7" t="s">
        <v>230</v>
      </c>
      <c r="D1" s="8">
        <f t="shared" ref="D1:J1" si="0">SUM(D3:D1048576)</f>
        <v>67411.06</v>
      </c>
      <c r="E1" s="8">
        <f t="shared" si="0"/>
        <v>4329.0499999999993</v>
      </c>
      <c r="F1" s="8">
        <f t="shared" si="0"/>
        <v>1114.5</v>
      </c>
      <c r="G1" s="8">
        <f t="shared" si="0"/>
        <v>18566.52</v>
      </c>
      <c r="H1" s="8">
        <f t="shared" si="0"/>
        <v>168.13</v>
      </c>
      <c r="I1" s="8">
        <f t="shared" si="0"/>
        <v>483.00000000000011</v>
      </c>
      <c r="J1" s="8">
        <f t="shared" si="0"/>
        <v>4455.2800000000016</v>
      </c>
    </row>
    <row r="2" spans="1:10" x14ac:dyDescent="0.55000000000000004">
      <c r="A2" s="2" t="s">
        <v>0</v>
      </c>
      <c r="B2" s="2" t="s">
        <v>231</v>
      </c>
      <c r="C2" s="3" t="s">
        <v>13</v>
      </c>
      <c r="D2" s="5" t="s">
        <v>8</v>
      </c>
      <c r="E2" s="5" t="s">
        <v>189</v>
      </c>
      <c r="F2" s="5" t="s">
        <v>190</v>
      </c>
      <c r="G2" s="5" t="s">
        <v>191</v>
      </c>
      <c r="H2" s="5" t="s">
        <v>192</v>
      </c>
      <c r="I2" s="5" t="s">
        <v>193</v>
      </c>
      <c r="J2" s="5" t="s">
        <v>194</v>
      </c>
    </row>
    <row r="3" spans="1:10" x14ac:dyDescent="0.55000000000000004">
      <c r="A3" t="str">
        <f>INDEX('Raw Data'!2:2,MATCH(A$2,'Raw Data'!$1:$1,0))</f>
        <v>134 2024 23 Jul - 05 Aug TT003576_202416_1.pdf</v>
      </c>
      <c r="B3" t="str">
        <f t="shared" ref="B3:B30" si="1">LEFT(A3,FIND(" ",A3)-1)</f>
        <v>134</v>
      </c>
      <c r="C3" s="1">
        <f>INDEX('Raw Data'!2:2,MATCH(C$2,'Raw Data'!$1:$1,0))</f>
        <v>45506</v>
      </c>
      <c r="D3" s="4">
        <f>INDEX('Raw Data'!2:2,MATCH(D$2,'Raw Data'!$1:$1,0))</f>
        <v>2312.5</v>
      </c>
      <c r="E3" s="4" cm="1">
        <f t="array" ref="E3">IF(ISNUMBER(INDEX('Raw Data'!2:2,MATCH("CPP Second Contribution",'Raw Data'!2:2,0)+1)),INDEX('Raw Data'!2:2,MATCH("CPP Second Contribution",'Raw Data'!2:2,0)+1),INDEX('Raw Data'!2:2,MATCH(E$2,'Raw Data'!2:2,0)+1))</f>
        <v>193.3</v>
      </c>
      <c r="F3" s="4">
        <f t="array" ref="F3">INDEX('Raw Data'!2:2,MATCH(F$2,'Raw Data'!2:2,0)+1)</f>
        <v>55.99</v>
      </c>
      <c r="G3" s="4">
        <f t="array" ref="G3">INDEX('Raw Data'!2:2,MATCH(G$2,'Raw Data'!2:2,0)+1)</f>
        <v>617.20000000000005</v>
      </c>
      <c r="H3" s="4">
        <f t="array" ref="H3">INDEX('Raw Data'!2:2,MATCH(H$2,'Raw Data'!2:2,0)+1)</f>
        <v>6.67</v>
      </c>
      <c r="I3" s="4">
        <f t="array" ref="I3">INDEX('Raw Data'!2:2,MATCH(I$2,'Raw Data'!2:2,0)+1)</f>
        <v>18.760000000000002</v>
      </c>
      <c r="J3" s="4">
        <f t="array" ref="J3">INDEX('Raw Data'!2:2,MATCH(J$2,'Raw Data'!2:2,0)+1)</f>
        <v>168.65</v>
      </c>
    </row>
    <row r="4" spans="1:10" x14ac:dyDescent="0.55000000000000004">
      <c r="A4" t="str">
        <f>INDEX('Raw Data'!3:3,MATCH(A$2,'Raw Data'!$1:$1,0))</f>
        <v>135 2024 06 Aug - 19 Aug TT003576_202417_1.pdf</v>
      </c>
      <c r="B4" t="str">
        <f t="shared" si="1"/>
        <v>135</v>
      </c>
      <c r="C4" s="1">
        <f>INDEX('Raw Data'!3:3,MATCH(C$2,'Raw Data'!$1:$1,0))</f>
        <v>45520</v>
      </c>
      <c r="D4" s="4">
        <f>INDEX('Raw Data'!3:3,MATCH(D$2,'Raw Data'!$1:$1,0))</f>
        <v>2312.5</v>
      </c>
      <c r="E4" s="4" cm="1">
        <f t="array" ref="E4">IF(ISNUMBER(INDEX('Raw Data'!3:3,MATCH("CPP Second Contribution",'Raw Data'!3:3,0)+1)),INDEX('Raw Data'!3:3,MATCH("CPP Second Contribution",'Raw Data'!3:3,0)+1),INDEX('Raw Data'!3:3,MATCH(E$2,'Raw Data'!3:3,0)+1))</f>
        <v>193.3</v>
      </c>
      <c r="F4" s="4">
        <f t="array" ref="F4">INDEX('Raw Data'!3:3,MATCH(F$2,'Raw Data'!3:3,0)+1)</f>
        <v>55.99</v>
      </c>
      <c r="G4" s="4">
        <f t="array" ref="G4">INDEX('Raw Data'!3:3,MATCH(G$2,'Raw Data'!3:3,0)+1)</f>
        <v>617.20000000000005</v>
      </c>
      <c r="H4" s="4">
        <f t="array" ref="H4">INDEX('Raw Data'!3:3,MATCH(H$2,'Raw Data'!3:3,0)+1)</f>
        <v>6.67</v>
      </c>
      <c r="I4" s="4">
        <f t="array" ref="I4">INDEX('Raw Data'!3:3,MATCH(I$2,'Raw Data'!3:3,0)+1)</f>
        <v>18.760000000000002</v>
      </c>
      <c r="J4" s="4">
        <f t="array" ref="J4">INDEX('Raw Data'!3:3,MATCH(J$2,'Raw Data'!3:3,0)+1)</f>
        <v>168.65</v>
      </c>
    </row>
    <row r="5" spans="1:10" x14ac:dyDescent="0.55000000000000004">
      <c r="A5" t="str">
        <f>INDEX('Raw Data'!4:4,MATCH(A$2,'Raw Data'!$1:$1,0))</f>
        <v>136 2024 20 Aug - 02 Sep TT003576_202418_1.pdf</v>
      </c>
      <c r="B5" t="str">
        <f t="shared" si="1"/>
        <v>136</v>
      </c>
      <c r="C5" s="1">
        <f>INDEX('Raw Data'!4:4,MATCH(C$2,'Raw Data'!$1:$1,0))</f>
        <v>45534</v>
      </c>
      <c r="D5" s="4">
        <f>INDEX('Raw Data'!4:4,MATCH(D$2,'Raw Data'!$1:$1,0))</f>
        <v>2363.7199999999998</v>
      </c>
      <c r="E5" s="4" cm="1">
        <f t="array" ref="E5">IF(ISNUMBER(INDEX('Raw Data'!4:4,MATCH("CPP Second Contribution",'Raw Data'!4:4,0)+1)),INDEX('Raw Data'!4:4,MATCH("CPP Second Contribution",'Raw Data'!4:4,0)+1),INDEX('Raw Data'!4:4,MATCH(E$2,'Raw Data'!4:4,0)+1))</f>
        <v>192.69</v>
      </c>
      <c r="F5" s="4">
        <f t="array" ref="F5">INDEX('Raw Data'!4:4,MATCH(F$2,'Raw Data'!4:4,0)+1)</f>
        <v>33.82</v>
      </c>
      <c r="G5" s="4">
        <f t="array" ref="G5">INDEX('Raw Data'!4:4,MATCH(G$2,'Raw Data'!4:4,0)+1)</f>
        <v>614.19000000000005</v>
      </c>
      <c r="H5" s="4">
        <f t="array" ref="H5">INDEX('Raw Data'!4:4,MATCH(H$2,'Raw Data'!4:4,0)+1)</f>
        <v>0</v>
      </c>
      <c r="I5" s="4">
        <f t="array" ref="I5">INDEX('Raw Data'!4:4,MATCH(I$2,'Raw Data'!4:4,0)+1)</f>
        <v>0</v>
      </c>
      <c r="J5" s="4">
        <f t="array" ref="J5">INDEX('Raw Data'!4:4,MATCH(J$2,'Raw Data'!4:4,0)+1)</f>
        <v>168.65</v>
      </c>
    </row>
    <row r="6" spans="1:10" x14ac:dyDescent="0.55000000000000004">
      <c r="A6" t="str">
        <f>INDEX('Raw Data'!5:5,MATCH(A$2,'Raw Data'!$1:$1,0))</f>
        <v>137 2024 03 Sep - 16 Sep TT003576_202419_1.pdf</v>
      </c>
      <c r="B6" t="str">
        <f t="shared" si="1"/>
        <v>137</v>
      </c>
      <c r="C6" s="1">
        <f>INDEX('Raw Data'!5:5,MATCH(C$2,'Raw Data'!$1:$1,0))</f>
        <v>45548</v>
      </c>
      <c r="D6" s="4">
        <f>INDEX('Raw Data'!5:5,MATCH(D$2,'Raw Data'!$1:$1,0))</f>
        <v>2397.37</v>
      </c>
      <c r="E6" s="4" cm="1">
        <f t="array" ref="E6">IF(ISNUMBER(INDEX('Raw Data'!5:5,MATCH("CPP Second Contribution",'Raw Data'!5:5,0)+1)),INDEX('Raw Data'!5:5,MATCH("CPP Second Contribution",'Raw Data'!5:5,0)+1),INDEX('Raw Data'!5:5,MATCH(E$2,'Raw Data'!5:5,0)+1))</f>
        <v>161.84</v>
      </c>
      <c r="F6" s="4">
        <f t="array" ref="F6">INDEX('Raw Data'!5:5,MATCH(F$2,'Raw Data'!5:5,0)+1)</f>
        <v>0</v>
      </c>
      <c r="G6" s="4">
        <f t="array" ref="G6">INDEX('Raw Data'!5:5,MATCH(G$2,'Raw Data'!5:5,0)+1)</f>
        <v>618.61</v>
      </c>
      <c r="H6" s="4">
        <f t="array" ref="H6">INDEX('Raw Data'!5:5,MATCH(H$2,'Raw Data'!5:5,0)+1)</f>
        <v>6.67</v>
      </c>
      <c r="I6" s="4">
        <f t="array" ref="I6">INDEX('Raw Data'!5:5,MATCH(I$2,'Raw Data'!5:5,0)+1)</f>
        <v>19.93</v>
      </c>
      <c r="J6" s="4">
        <f t="array" ref="J6">INDEX('Raw Data'!5:5,MATCH(J$2,'Raw Data'!5:5,0)+1)</f>
        <v>168.65</v>
      </c>
    </row>
    <row r="7" spans="1:10" x14ac:dyDescent="0.55000000000000004">
      <c r="A7" t="str">
        <f>INDEX('Raw Data'!6:6,MATCH(A$2,'Raw Data'!$1:$1,0))</f>
        <v>138 2024 17 Sep - 30 Sep TT003576_202420_1.pdf</v>
      </c>
      <c r="B7" t="str">
        <f t="shared" si="1"/>
        <v>138</v>
      </c>
      <c r="C7" s="1">
        <f>INDEX('Raw Data'!6:6,MATCH(C$2,'Raw Data'!$1:$1,0))</f>
        <v>45562</v>
      </c>
      <c r="D7" s="4">
        <f>INDEX('Raw Data'!6:6,MATCH(D$2,'Raw Data'!$1:$1,0))</f>
        <v>2466.5700000000002</v>
      </c>
      <c r="E7" s="4" cm="1">
        <f t="array" ref="E7">IF(ISNUMBER(INDEX('Raw Data'!6:6,MATCH("CPP Second Contribution",'Raw Data'!6:6,0)+1)),INDEX('Raw Data'!6:6,MATCH("CPP Second Contribution",'Raw Data'!6:6,0)+1),INDEX('Raw Data'!6:6,MATCH(E$2,'Raw Data'!6:6,0)+1))</f>
        <v>118.73</v>
      </c>
      <c r="F7" s="4">
        <f t="array" ref="F7">INDEX('Raw Data'!6:6,MATCH(F$2,'Raw Data'!6:6,0)+1)</f>
        <v>0</v>
      </c>
      <c r="G7" s="4">
        <f t="array" ref="G7">INDEX('Raw Data'!6:6,MATCH(G$2,'Raw Data'!6:6,0)+1)</f>
        <v>591.47</v>
      </c>
      <c r="H7" s="4">
        <f t="array" ref="H7">INDEX('Raw Data'!6:6,MATCH(H$2,'Raw Data'!6:6,0)+1)</f>
        <v>7.72</v>
      </c>
      <c r="I7" s="4">
        <f t="array" ref="I7">INDEX('Raw Data'!6:6,MATCH(I$2,'Raw Data'!6:6,0)+1)</f>
        <v>19.93</v>
      </c>
      <c r="J7" s="4">
        <f t="array" ref="J7">INDEX('Raw Data'!6:6,MATCH(J$2,'Raw Data'!6:6,0)+1)</f>
        <v>168.65</v>
      </c>
    </row>
    <row r="8" spans="1:10" x14ac:dyDescent="0.55000000000000004">
      <c r="A8" t="str">
        <f>INDEX('Raw Data'!7:7,MATCH(A$2,'Raw Data'!$1:$1,0))</f>
        <v>139 2024 01 Oct - 14 Oct TT003576_202421_1.pdf</v>
      </c>
      <c r="B8" t="str">
        <f t="shared" si="1"/>
        <v>139</v>
      </c>
      <c r="C8" s="1">
        <f>INDEX('Raw Data'!7:7,MATCH(C$2,'Raw Data'!$1:$1,0))</f>
        <v>45576</v>
      </c>
      <c r="D8" s="4">
        <f>INDEX('Raw Data'!7:7,MATCH(D$2,'Raw Data'!$1:$1,0))</f>
        <v>2502.06</v>
      </c>
      <c r="E8" s="4" cm="1">
        <f t="array" ref="E8">IF(ISNUMBER(INDEX('Raw Data'!7:7,MATCH("CPP Second Contribution",'Raw Data'!7:7,0)+1)),INDEX('Raw Data'!7:7,MATCH("CPP Second Contribution",'Raw Data'!7:7,0)+1),INDEX('Raw Data'!7:7,MATCH(E$2,'Raw Data'!7:7,0)+1))</f>
        <v>69.27</v>
      </c>
      <c r="F8" s="4">
        <f t="array" ref="F8">INDEX('Raw Data'!7:7,MATCH(F$2,'Raw Data'!7:7,0)+1)</f>
        <v>0</v>
      </c>
      <c r="G8" s="4">
        <f t="array" ref="G8">INDEX('Raw Data'!7:7,MATCH(G$2,'Raw Data'!7:7,0)+1)</f>
        <v>606.14</v>
      </c>
      <c r="H8" s="4">
        <f t="array" ref="H8">INDEX('Raw Data'!7:7,MATCH(H$2,'Raw Data'!7:7,0)+1)</f>
        <v>7.02</v>
      </c>
      <c r="I8" s="4">
        <f t="array" ref="I8">INDEX('Raw Data'!7:7,MATCH(I$2,'Raw Data'!7:7,0)+1)</f>
        <v>19.93</v>
      </c>
      <c r="J8" s="4">
        <f t="array" ref="J8">INDEX('Raw Data'!7:7,MATCH(J$2,'Raw Data'!7:7,0)+1)</f>
        <v>168.65</v>
      </c>
    </row>
    <row r="9" spans="1:10" x14ac:dyDescent="0.55000000000000004">
      <c r="A9" t="str">
        <f>INDEX('Raw Data'!8:8,MATCH(A$2,'Raw Data'!$1:$1,0))</f>
        <v>140 2024 15 Oct - 28 Oct TT003576_202422_1.pdf</v>
      </c>
      <c r="B9" t="str">
        <f t="shared" si="1"/>
        <v>140</v>
      </c>
      <c r="C9" s="1">
        <f>INDEX('Raw Data'!8:8,MATCH(C$2,'Raw Data'!$1:$1,0))</f>
        <v>45590</v>
      </c>
      <c r="D9" s="4">
        <f>INDEX('Raw Data'!8:8,MATCH(D$2,'Raw Data'!$1:$1,0))</f>
        <v>2550.8000000000002</v>
      </c>
      <c r="E9" s="4" cm="1">
        <f t="array" ref="E9">IF(ISNUMBER(INDEX('Raw Data'!8:8,MATCH("CPP Second Contribution",'Raw Data'!8:8,0)+1)),INDEX('Raw Data'!8:8,MATCH("CPP Second Contribution",'Raw Data'!8:8,0)+1),INDEX('Raw Data'!8:8,MATCH(E$2,'Raw Data'!8:8,0)+1))</f>
        <v>0</v>
      </c>
      <c r="F9" s="4">
        <f t="array" ref="F9">INDEX('Raw Data'!8:8,MATCH(F$2,'Raw Data'!8:8,0)+1)</f>
        <v>0</v>
      </c>
      <c r="G9" s="4">
        <f t="array" ref="G9">INDEX('Raw Data'!8:8,MATCH(G$2,'Raw Data'!8:8,0)+1)</f>
        <v>626.66999999999996</v>
      </c>
      <c r="H9" s="4">
        <f t="array" ref="H9">INDEX('Raw Data'!8:8,MATCH(H$2,'Raw Data'!8:8,0)+1)</f>
        <v>7.02</v>
      </c>
      <c r="I9" s="4">
        <f t="array" ref="I9">INDEX('Raw Data'!8:8,MATCH(I$2,'Raw Data'!8:8,0)+1)</f>
        <v>19.93</v>
      </c>
      <c r="J9" s="4">
        <f t="array" ref="J9">INDEX('Raw Data'!8:8,MATCH(J$2,'Raw Data'!8:8,0)+1)</f>
        <v>168.65</v>
      </c>
    </row>
    <row r="10" spans="1:10" x14ac:dyDescent="0.55000000000000004">
      <c r="A10" t="str">
        <f>INDEX('Raw Data'!9:9,MATCH(A$2,'Raw Data'!$1:$1,0))</f>
        <v>141 2024 29 Oct - 11 Nov TT003576_202423_1.pdf</v>
      </c>
      <c r="B10" t="str">
        <f t="shared" si="1"/>
        <v>141</v>
      </c>
      <c r="C10" s="1">
        <f>INDEX('Raw Data'!9:9,MATCH(C$2,'Raw Data'!$1:$1,0))</f>
        <v>45604</v>
      </c>
      <c r="D10" s="4">
        <f>INDEX('Raw Data'!9:9,MATCH(D$2,'Raw Data'!$1:$1,0))</f>
        <v>2550.8000000000002</v>
      </c>
      <c r="E10" s="4" cm="1">
        <f t="array" ref="E10">IF(ISNUMBER(INDEX('Raw Data'!9:9,MATCH("CPP Second Contribution",'Raw Data'!9:9,0)+1)),INDEX('Raw Data'!9:9,MATCH("CPP Second Contribution",'Raw Data'!9:9,0)+1),INDEX('Raw Data'!9:9,MATCH(E$2,'Raw Data'!9:9,0)+1))</f>
        <v>0</v>
      </c>
      <c r="F10" s="4">
        <f t="array" ref="F10">INDEX('Raw Data'!9:9,MATCH(F$2,'Raw Data'!9:9,0)+1)</f>
        <v>0</v>
      </c>
      <c r="G10" s="4">
        <f t="array" ref="G10">INDEX('Raw Data'!9:9,MATCH(G$2,'Raw Data'!9:9,0)+1)</f>
        <v>626.66999999999996</v>
      </c>
      <c r="H10" s="4">
        <f t="array" ref="H10">INDEX('Raw Data'!9:9,MATCH(H$2,'Raw Data'!9:9,0)+1)</f>
        <v>7.02</v>
      </c>
      <c r="I10" s="4">
        <f t="array" ref="I10">INDEX('Raw Data'!9:9,MATCH(I$2,'Raw Data'!9:9,0)+1)</f>
        <v>19.93</v>
      </c>
      <c r="J10" s="4">
        <f t="array" ref="J10">INDEX('Raw Data'!9:9,MATCH(J$2,'Raw Data'!9:9,0)+1)</f>
        <v>168.65</v>
      </c>
    </row>
    <row r="11" spans="1:10" x14ac:dyDescent="0.55000000000000004">
      <c r="A11" t="str">
        <f>INDEX('Raw Data'!10:10,MATCH(A$2,'Raw Data'!$1:$1,0))</f>
        <v>142 2024 12 Nov - 25 Nov TT003576_202424_1.pdf</v>
      </c>
      <c r="B11" t="str">
        <f t="shared" si="1"/>
        <v>142</v>
      </c>
      <c r="C11" s="1">
        <f>INDEX('Raw Data'!10:10,MATCH(C$2,'Raw Data'!$1:$1,0))</f>
        <v>45618</v>
      </c>
      <c r="D11" s="4">
        <f>INDEX('Raw Data'!10:10,MATCH(D$2,'Raw Data'!$1:$1,0))</f>
        <v>2831.48</v>
      </c>
      <c r="E11" s="4" cm="1">
        <f t="array" ref="E11">IF(ISNUMBER(INDEX('Raw Data'!10:10,MATCH("CPP Second Contribution",'Raw Data'!10:10,0)+1)),INDEX('Raw Data'!10:10,MATCH("CPP Second Contribution",'Raw Data'!10:10,0)+1),INDEX('Raw Data'!10:10,MATCH(E$2,'Raw Data'!10:10,0)+1))</f>
        <v>0</v>
      </c>
      <c r="F11" s="4">
        <f t="array" ref="F11">INDEX('Raw Data'!10:10,MATCH(F$2,'Raw Data'!10:10,0)+1)</f>
        <v>0</v>
      </c>
      <c r="G11" s="4">
        <f t="array" ref="G11">INDEX('Raw Data'!10:10,MATCH(G$2,'Raw Data'!10:10,0)+1)</f>
        <v>745.99</v>
      </c>
      <c r="H11" s="4">
        <f t="array" ref="H11">INDEX('Raw Data'!10:10,MATCH(H$2,'Raw Data'!10:10,0)+1)</f>
        <v>7.02</v>
      </c>
      <c r="I11" s="4">
        <f t="array" ref="I11">INDEX('Raw Data'!10:10,MATCH(I$2,'Raw Data'!10:10,0)+1)</f>
        <v>19.93</v>
      </c>
      <c r="J11" s="4">
        <f t="array" ref="J11">INDEX('Raw Data'!10:10,MATCH(J$2,'Raw Data'!10:10,0)+1)</f>
        <v>168.65</v>
      </c>
    </row>
    <row r="12" spans="1:10" x14ac:dyDescent="0.55000000000000004">
      <c r="A12" t="str">
        <f>INDEX('Raw Data'!11:11,MATCH(A$2,'Raw Data'!$1:$1,0))</f>
        <v>143 2024 26 Nov - 09 Dec TT003576_202425_1.pdf</v>
      </c>
      <c r="B12" t="str">
        <f t="shared" si="1"/>
        <v>143</v>
      </c>
      <c r="C12" s="1">
        <f>INDEX('Raw Data'!11:11,MATCH(C$2,'Raw Data'!$1:$1,0))</f>
        <v>45632</v>
      </c>
      <c r="D12" s="4">
        <f>INDEX('Raw Data'!11:11,MATCH(D$2,'Raw Data'!$1:$1,0))</f>
        <v>2550.8000000000002</v>
      </c>
      <c r="E12" s="4" cm="1">
        <f t="array" ref="E12">IF(ISNUMBER(INDEX('Raw Data'!11:11,MATCH("CPP Second Contribution",'Raw Data'!11:11,0)+1)),INDEX('Raw Data'!11:11,MATCH("CPP Second Contribution",'Raw Data'!11:11,0)+1),INDEX('Raw Data'!11:11,MATCH(E$2,'Raw Data'!11:11,0)+1))</f>
        <v>0</v>
      </c>
      <c r="F12" s="4">
        <f t="array" ref="F12">INDEX('Raw Data'!11:11,MATCH(F$2,'Raw Data'!11:11,0)+1)</f>
        <v>0</v>
      </c>
      <c r="G12" s="4">
        <f t="array" ref="G12">INDEX('Raw Data'!11:11,MATCH(G$2,'Raw Data'!11:11,0)+1)</f>
        <v>626.66999999999996</v>
      </c>
      <c r="H12" s="4">
        <f t="array" ref="H12">INDEX('Raw Data'!11:11,MATCH(H$2,'Raw Data'!11:11,0)+1)</f>
        <v>7.02</v>
      </c>
      <c r="I12" s="4">
        <f t="array" ref="I12">INDEX('Raw Data'!11:11,MATCH(I$2,'Raw Data'!11:11,0)+1)</f>
        <v>19.93</v>
      </c>
      <c r="J12" s="4">
        <f t="array" ref="J12">INDEX('Raw Data'!11:11,MATCH(J$2,'Raw Data'!11:11,0)+1)</f>
        <v>168.65</v>
      </c>
    </row>
    <row r="13" spans="1:10" x14ac:dyDescent="0.55000000000000004">
      <c r="A13" t="str">
        <f>INDEX('Raw Data'!12:12,MATCH(A$2,'Raw Data'!$1:$1,0))</f>
        <v>144 2024 10 Dec - 23 Dec TT003576_202426_1.pdf</v>
      </c>
      <c r="B13" t="str">
        <f t="shared" si="1"/>
        <v>144</v>
      </c>
      <c r="C13" s="1">
        <f>INDEX('Raw Data'!12:12,MATCH(C$2,'Raw Data'!$1:$1,0))</f>
        <v>45646</v>
      </c>
      <c r="D13" s="4">
        <f>INDEX('Raw Data'!12:12,MATCH(D$2,'Raw Data'!$1:$1,0))</f>
        <v>2550.8000000000002</v>
      </c>
      <c r="E13" s="4" cm="1">
        <f t="array" ref="E13">IF(ISNUMBER(INDEX('Raw Data'!12:12,MATCH("CPP Second Contribution",'Raw Data'!12:12,0)+1)),INDEX('Raw Data'!12:12,MATCH("CPP Second Contribution",'Raw Data'!12:12,0)+1),INDEX('Raw Data'!12:12,MATCH(E$2,'Raw Data'!12:12,0)+1))</f>
        <v>0</v>
      </c>
      <c r="F13" s="4">
        <f t="array" ref="F13">INDEX('Raw Data'!12:12,MATCH(F$2,'Raw Data'!12:12,0)+1)</f>
        <v>0</v>
      </c>
      <c r="G13" s="4">
        <f t="array" ref="G13">INDEX('Raw Data'!12:12,MATCH(G$2,'Raw Data'!12:12,0)+1)</f>
        <v>626.66999999999996</v>
      </c>
      <c r="H13" s="4">
        <f t="array" ref="H13">INDEX('Raw Data'!12:12,MATCH(H$2,'Raw Data'!12:12,0)+1)</f>
        <v>7.02</v>
      </c>
      <c r="I13" s="4">
        <f t="array" ref="I13">INDEX('Raw Data'!12:12,MATCH(I$2,'Raw Data'!12:12,0)+1)</f>
        <v>19.93</v>
      </c>
      <c r="J13" s="4">
        <f t="array" ref="J13">INDEX('Raw Data'!12:12,MATCH(J$2,'Raw Data'!12:12,0)+1)</f>
        <v>168.65</v>
      </c>
    </row>
    <row r="14" spans="1:10" x14ac:dyDescent="0.55000000000000004">
      <c r="A14" t="str">
        <f>INDEX('Raw Data'!13:13,MATCH(A$2,'Raw Data'!$1:$1,0))</f>
        <v>145 2024 24 Dec - 2025 06 Jan TT003576_202501_1.pdf</v>
      </c>
      <c r="B14" t="str">
        <f t="shared" si="1"/>
        <v>145</v>
      </c>
      <c r="C14" s="1">
        <f>INDEX('Raw Data'!13:13,MATCH(C$2,'Raw Data'!$1:$1,0))</f>
        <v>45660</v>
      </c>
      <c r="D14" s="4">
        <f>INDEX('Raw Data'!13:13,MATCH(D$2,'Raw Data'!$1:$1,0))</f>
        <v>2311.17</v>
      </c>
      <c r="E14" s="4" cm="1">
        <f t="array" ref="E14">IF(ISNUMBER(INDEX('Raw Data'!13:13,MATCH("CPP Second Contribution",'Raw Data'!13:13,0)+1)),INDEX('Raw Data'!13:13,MATCH("CPP Second Contribution",'Raw Data'!13:13,0)+1),INDEX('Raw Data'!13:13,MATCH(E$2,'Raw Data'!13:13,0)+1))</f>
        <v>193.27</v>
      </c>
      <c r="F14" s="4">
        <f t="array" ref="F14">INDEX('Raw Data'!13:13,MATCH(F$2,'Raw Data'!13:13,0)+1)</f>
        <v>55.99</v>
      </c>
      <c r="G14" s="4">
        <f t="array" ref="G14">INDEX('Raw Data'!13:13,MATCH(G$2,'Raw Data'!13:13,0)+1)</f>
        <v>617.04</v>
      </c>
      <c r="H14" s="4">
        <f t="array" ref="H14">INDEX('Raw Data'!13:13,MATCH(H$2,'Raw Data'!13:13,0)+1)</f>
        <v>7.02</v>
      </c>
      <c r="I14" s="4">
        <f t="array" ref="I14">INDEX('Raw Data'!13:13,MATCH(I$2,'Raw Data'!13:13,0)+1)</f>
        <v>19.93</v>
      </c>
      <c r="J14" s="4">
        <f t="array" ref="J14">INDEX('Raw Data'!13:13,MATCH(J$2,'Raw Data'!13:13,0)+1)</f>
        <v>168.65</v>
      </c>
    </row>
    <row r="15" spans="1:10" x14ac:dyDescent="0.55000000000000004">
      <c r="A15" t="str">
        <f>INDEX('Raw Data'!14:14,MATCH(A$2,'Raw Data'!$1:$1,0))</f>
        <v>146 2025 07 Jan - 20 Jan TT003576_202502_1.pdf</v>
      </c>
      <c r="B15" t="str">
        <f t="shared" si="1"/>
        <v>146</v>
      </c>
      <c r="C15" s="1">
        <f>INDEX('Raw Data'!14:14,MATCH(C$2,'Raw Data'!$1:$1,0))</f>
        <v>45674</v>
      </c>
      <c r="D15" s="4">
        <f>INDEX('Raw Data'!14:14,MATCH(D$2,'Raw Data'!$1:$1,0))</f>
        <v>2321.9299999999998</v>
      </c>
      <c r="E15" s="4" cm="1">
        <f t="array" ref="E15">IF(ISNUMBER(INDEX('Raw Data'!14:14,MATCH("CPP Second Contribution",'Raw Data'!14:14,0)+1)),INDEX('Raw Data'!14:14,MATCH("CPP Second Contribution",'Raw Data'!14:14,0)+1),INDEX('Raw Data'!14:14,MATCH(E$2,'Raw Data'!14:14,0)+1))</f>
        <v>193.27</v>
      </c>
      <c r="F15" s="4">
        <f t="array" ref="F15">INDEX('Raw Data'!14:14,MATCH(F$2,'Raw Data'!14:14,0)+1)</f>
        <v>55.32</v>
      </c>
      <c r="G15" s="4">
        <f t="array" ref="G15">INDEX('Raw Data'!14:14,MATCH(G$2,'Raw Data'!14:14,0)+1)</f>
        <v>606.95000000000005</v>
      </c>
      <c r="H15" s="4">
        <f t="array" ref="H15">INDEX('Raw Data'!14:14,MATCH(H$2,'Raw Data'!14:14,0)+1)</f>
        <v>7.02</v>
      </c>
      <c r="I15" s="4">
        <f t="array" ref="I15">INDEX('Raw Data'!14:14,MATCH(I$2,'Raw Data'!14:14,0)+1)</f>
        <v>19.93</v>
      </c>
      <c r="J15" s="4">
        <f t="array" ref="J15">INDEX('Raw Data'!14:14,MATCH(J$2,'Raw Data'!14:14,0)+1)</f>
        <v>168.65</v>
      </c>
    </row>
    <row r="16" spans="1:10" x14ac:dyDescent="0.55000000000000004">
      <c r="A16" t="str">
        <f>INDEX('Raw Data'!15:15,MATCH(A$2,'Raw Data'!$1:$1,0))</f>
        <v>147 21 Jan 2025 - 03 Feb 2025 TT003576_202503_1.pdf</v>
      </c>
      <c r="B16" t="str">
        <f t="shared" si="1"/>
        <v>147</v>
      </c>
      <c r="C16" s="1">
        <f>INDEX('Raw Data'!15:15,MATCH(C$2,'Raw Data'!$1:$1,0))</f>
        <v>45688</v>
      </c>
      <c r="D16" s="4">
        <f>INDEX('Raw Data'!15:15,MATCH(D$2,'Raw Data'!$1:$1,0))</f>
        <v>2352.31</v>
      </c>
      <c r="E16" s="4" cm="1">
        <f t="array" ref="E16">IF(ISNUMBER(INDEX('Raw Data'!15:15,MATCH("CPP Second Contribution",'Raw Data'!15:15,0)+1)),INDEX('Raw Data'!15:15,MATCH("CPP Second Contribution",'Raw Data'!15:15,0)+1),INDEX('Raw Data'!15:15,MATCH(E$2,'Raw Data'!15:15,0)+1))</f>
        <v>192.69</v>
      </c>
      <c r="F16" s="4">
        <f t="array" ref="F16">INDEX('Raw Data'!15:15,MATCH(F$2,'Raw Data'!15:15,0)+1)</f>
        <v>55.32</v>
      </c>
      <c r="G16" s="4">
        <f t="array" ref="G16">INDEX('Raw Data'!15:15,MATCH(G$2,'Raw Data'!15:15,0)+1)</f>
        <v>604.1</v>
      </c>
      <c r="H16" s="4">
        <f t="array" ref="H16">INDEX('Raw Data'!15:15,MATCH(H$2,'Raw Data'!15:15,0)+1)</f>
        <v>0</v>
      </c>
      <c r="I16" s="4">
        <f t="array" ref="I16">INDEX('Raw Data'!15:15,MATCH(I$2,'Raw Data'!15:15,0)+1)</f>
        <v>0</v>
      </c>
      <c r="J16" s="4">
        <f t="array" ref="J16">INDEX('Raw Data'!15:15,MATCH(J$2,'Raw Data'!15:15,0)+1)</f>
        <v>168.65</v>
      </c>
    </row>
    <row r="17" spans="1:10" x14ac:dyDescent="0.55000000000000004">
      <c r="A17" t="str">
        <f>INDEX('Raw Data'!16:16,MATCH(A$2,'Raw Data'!$1:$1,0))</f>
        <v>148 04 Feb 2025 - 17 Feb 2025 TT003576_202504_1.pdf</v>
      </c>
      <c r="B17" t="str">
        <f t="shared" si="1"/>
        <v>148</v>
      </c>
      <c r="C17" s="1">
        <f>INDEX('Raw Data'!16:16,MATCH(C$2,'Raw Data'!$1:$1,0))</f>
        <v>45702</v>
      </c>
      <c r="D17" s="4">
        <f>INDEX('Raw Data'!16:16,MATCH(D$2,'Raw Data'!$1:$1,0))</f>
        <v>2321.9299999999998</v>
      </c>
      <c r="E17" s="4" cm="1">
        <f t="array" ref="E17">IF(ISNUMBER(INDEX('Raw Data'!16:16,MATCH("CPP Second Contribution",'Raw Data'!16:16,0)+1)),INDEX('Raw Data'!16:16,MATCH("CPP Second Contribution",'Raw Data'!16:16,0)+1),INDEX('Raw Data'!16:16,MATCH(E$2,'Raw Data'!16:16,0)+1))</f>
        <v>193.27</v>
      </c>
      <c r="F17" s="4">
        <f t="array" ref="F17">INDEX('Raw Data'!16:16,MATCH(F$2,'Raw Data'!16:16,0)+1)</f>
        <v>55.32</v>
      </c>
      <c r="G17" s="4">
        <f t="array" ref="G17">INDEX('Raw Data'!16:16,MATCH(G$2,'Raw Data'!16:16,0)+1)</f>
        <v>606.95000000000005</v>
      </c>
      <c r="H17" s="4">
        <f t="array" ref="H17">INDEX('Raw Data'!16:16,MATCH(H$2,'Raw Data'!16:16,0)+1)</f>
        <v>7.02</v>
      </c>
      <c r="I17" s="4">
        <f t="array" ref="I17">INDEX('Raw Data'!16:16,MATCH(I$2,'Raw Data'!16:16,0)+1)</f>
        <v>19.93</v>
      </c>
      <c r="J17" s="4">
        <f t="array" ref="J17">INDEX('Raw Data'!16:16,MATCH(J$2,'Raw Data'!16:16,0)+1)</f>
        <v>168.65</v>
      </c>
    </row>
    <row r="18" spans="1:10" x14ac:dyDescent="0.55000000000000004">
      <c r="A18" t="str">
        <f>INDEX('Raw Data'!17:17,MATCH(A$2,'Raw Data'!$1:$1,0))</f>
        <v>149 18 Feb 2025 - 03 Mar 2025 TT003576_202505_1.pdf</v>
      </c>
      <c r="B18" t="str">
        <f t="shared" si="1"/>
        <v>149</v>
      </c>
      <c r="C18" s="1">
        <f>INDEX('Raw Data'!17:17,MATCH(C$2,'Raw Data'!$1:$1,0))</f>
        <v>45716</v>
      </c>
      <c r="D18" s="4">
        <f>INDEX('Raw Data'!17:17,MATCH(D$2,'Raw Data'!$1:$1,0))</f>
        <v>2321.9299999999998</v>
      </c>
      <c r="E18" s="4" cm="1">
        <f t="array" ref="E18">IF(ISNUMBER(INDEX('Raw Data'!17:17,MATCH("CPP Second Contribution",'Raw Data'!17:17,0)+1)),INDEX('Raw Data'!17:17,MATCH("CPP Second Contribution",'Raw Data'!17:17,0)+1),INDEX('Raw Data'!17:17,MATCH(E$2,'Raw Data'!17:17,0)+1))</f>
        <v>193.27</v>
      </c>
      <c r="F18" s="4">
        <f t="array" ref="F18">INDEX('Raw Data'!17:17,MATCH(F$2,'Raw Data'!17:17,0)+1)</f>
        <v>55.32</v>
      </c>
      <c r="G18" s="4">
        <f t="array" ref="G18">INDEX('Raw Data'!17:17,MATCH(G$2,'Raw Data'!17:17,0)+1)</f>
        <v>606.95000000000005</v>
      </c>
      <c r="H18" s="4">
        <f t="array" ref="H18">INDEX('Raw Data'!17:17,MATCH(H$2,'Raw Data'!17:17,0)+1)</f>
        <v>7.02</v>
      </c>
      <c r="I18" s="4">
        <f t="array" ref="I18">INDEX('Raw Data'!17:17,MATCH(I$2,'Raw Data'!17:17,0)+1)</f>
        <v>19.93</v>
      </c>
      <c r="J18" s="4">
        <f t="array" ref="J18">INDEX('Raw Data'!17:17,MATCH(J$2,'Raw Data'!17:17,0)+1)</f>
        <v>168.65</v>
      </c>
    </row>
    <row r="19" spans="1:10" x14ac:dyDescent="0.55000000000000004">
      <c r="A19" t="str">
        <f>INDEX('Raw Data'!18:18,MATCH(A$2,'Raw Data'!$1:$1,0))</f>
        <v>150 04 Mar 2025 - 17 Mar 2025 TT003576_202506_1.pdf</v>
      </c>
      <c r="B19" t="str">
        <f t="shared" si="1"/>
        <v>150</v>
      </c>
      <c r="C19" s="1">
        <f>INDEX('Raw Data'!18:18,MATCH(C$2,'Raw Data'!$1:$1,0))</f>
        <v>45730</v>
      </c>
      <c r="D19" s="4">
        <f>INDEX('Raw Data'!18:18,MATCH(D$2,'Raw Data'!$1:$1,0))</f>
        <v>2321.9299999999998</v>
      </c>
      <c r="E19" s="4" cm="1">
        <f t="array" ref="E19">IF(ISNUMBER(INDEX('Raw Data'!18:18,MATCH("CPP Second Contribution",'Raw Data'!18:18,0)+1)),INDEX('Raw Data'!18:18,MATCH("CPP Second Contribution",'Raw Data'!18:18,0)+1),INDEX('Raw Data'!18:18,MATCH(E$2,'Raw Data'!18:18,0)+1))</f>
        <v>193.27</v>
      </c>
      <c r="F19" s="4">
        <f t="array" ref="F19">INDEX('Raw Data'!18:18,MATCH(F$2,'Raw Data'!18:18,0)+1)</f>
        <v>55.32</v>
      </c>
      <c r="G19" s="4">
        <f t="array" ref="G19">INDEX('Raw Data'!18:18,MATCH(G$2,'Raw Data'!18:18,0)+1)</f>
        <v>606.95000000000005</v>
      </c>
      <c r="H19" s="4">
        <f t="array" ref="H19">INDEX('Raw Data'!18:18,MATCH(H$2,'Raw Data'!18:18,0)+1)</f>
        <v>7.02</v>
      </c>
      <c r="I19" s="4">
        <f t="array" ref="I19">INDEX('Raw Data'!18:18,MATCH(I$2,'Raw Data'!18:18,0)+1)</f>
        <v>19.93</v>
      </c>
      <c r="J19" s="4">
        <f t="array" ref="J19">INDEX('Raw Data'!18:18,MATCH(J$2,'Raw Data'!18:18,0)+1)</f>
        <v>168.65</v>
      </c>
    </row>
    <row r="20" spans="1:10" x14ac:dyDescent="0.55000000000000004">
      <c r="A20" t="str">
        <f>INDEX('Raw Data'!19:19,MATCH(A$2,'Raw Data'!$1:$1,0))</f>
        <v>151 18 Mar 2025 - 31 Mar 2025 TT003576_202507_1.pdf</v>
      </c>
      <c r="B20" t="str">
        <f t="shared" si="1"/>
        <v>151</v>
      </c>
      <c r="C20" s="1">
        <f>INDEX('Raw Data'!19:19,MATCH(C$2,'Raw Data'!$1:$1,0))</f>
        <v>45744</v>
      </c>
      <c r="D20" s="4">
        <f>INDEX('Raw Data'!19:19,MATCH(D$2,'Raw Data'!$1:$1,0))</f>
        <v>2321.9299999999998</v>
      </c>
      <c r="E20" s="4" cm="1">
        <f t="array" ref="E20">IF(ISNUMBER(INDEX('Raw Data'!19:19,MATCH("CPP Second Contribution",'Raw Data'!19:19,0)+1)),INDEX('Raw Data'!19:19,MATCH("CPP Second Contribution",'Raw Data'!19:19,0)+1),INDEX('Raw Data'!19:19,MATCH(E$2,'Raw Data'!19:19,0)+1))</f>
        <v>193.27</v>
      </c>
      <c r="F20" s="4">
        <f t="array" ref="F20">INDEX('Raw Data'!19:19,MATCH(F$2,'Raw Data'!19:19,0)+1)</f>
        <v>55.32</v>
      </c>
      <c r="G20" s="4">
        <f t="array" ref="G20">INDEX('Raw Data'!19:19,MATCH(G$2,'Raw Data'!19:19,0)+1)</f>
        <v>606.95000000000005</v>
      </c>
      <c r="H20" s="4">
        <f t="array" ref="H20">INDEX('Raw Data'!19:19,MATCH(H$2,'Raw Data'!19:19,0)+1)</f>
        <v>7.02</v>
      </c>
      <c r="I20" s="4">
        <f t="array" ref="I20">INDEX('Raw Data'!19:19,MATCH(I$2,'Raw Data'!19:19,0)+1)</f>
        <v>19.93</v>
      </c>
      <c r="J20" s="4">
        <f t="array" ref="J20">INDEX('Raw Data'!19:19,MATCH(J$2,'Raw Data'!19:19,0)+1)</f>
        <v>168.65</v>
      </c>
    </row>
    <row r="21" spans="1:10" x14ac:dyDescent="0.55000000000000004">
      <c r="A21" t="str">
        <f>INDEX('Raw Data'!20:20,MATCH(A$2,'Raw Data'!$1:$1,0))</f>
        <v>152 01 Apr 2025 - 14 Apr 2025 TT003576_202508_1.pdf</v>
      </c>
      <c r="B21" t="str">
        <f t="shared" si="1"/>
        <v>152</v>
      </c>
      <c r="C21" s="1">
        <f>INDEX('Raw Data'!20:20,MATCH(C$2,'Raw Data'!$1:$1,0))</f>
        <v>45758</v>
      </c>
      <c r="D21" s="4">
        <f>INDEX('Raw Data'!20:20,MATCH(D$2,'Raw Data'!$1:$1,0))</f>
        <v>2321.9299999999998</v>
      </c>
      <c r="E21" s="4" cm="1">
        <f t="array" ref="E21">IF(ISNUMBER(INDEX('Raw Data'!20:20,MATCH("CPP Second Contribution",'Raw Data'!20:20,0)+1)),INDEX('Raw Data'!20:20,MATCH("CPP Second Contribution",'Raw Data'!20:20,0)+1),INDEX('Raw Data'!20:20,MATCH(E$2,'Raw Data'!20:20,0)+1))</f>
        <v>193.27</v>
      </c>
      <c r="F21" s="4">
        <f t="array" ref="F21">INDEX('Raw Data'!20:20,MATCH(F$2,'Raw Data'!20:20,0)+1)</f>
        <v>55.32</v>
      </c>
      <c r="G21" s="4">
        <f t="array" ref="G21">INDEX('Raw Data'!20:20,MATCH(G$2,'Raw Data'!20:20,0)+1)</f>
        <v>606.95000000000005</v>
      </c>
      <c r="H21" s="4">
        <f t="array" ref="H21">INDEX('Raw Data'!20:20,MATCH(H$2,'Raw Data'!20:20,0)+1)</f>
        <v>7.02</v>
      </c>
      <c r="I21" s="4">
        <f t="array" ref="I21">INDEX('Raw Data'!20:20,MATCH(I$2,'Raw Data'!20:20,0)+1)</f>
        <v>19.93</v>
      </c>
      <c r="J21" s="4">
        <f t="array" ref="J21">INDEX('Raw Data'!20:20,MATCH(J$2,'Raw Data'!20:20,0)+1)</f>
        <v>168.65</v>
      </c>
    </row>
    <row r="22" spans="1:10" x14ac:dyDescent="0.55000000000000004">
      <c r="A22" t="str">
        <f>INDEX('Raw Data'!21:21,MATCH(A$2,'Raw Data'!$1:$1,0))</f>
        <v>152 01 Apr 2025 - 14 Apr 2025 TT003576_202508_2 bonus.pdf</v>
      </c>
      <c r="B22" t="str">
        <f t="shared" si="1"/>
        <v>152</v>
      </c>
      <c r="C22" s="1">
        <f>INDEX('Raw Data'!21:21,MATCH(C$2,'Raw Data'!$1:$1,0))</f>
        <v>45758</v>
      </c>
      <c r="D22" s="4">
        <f>INDEX('Raw Data'!21:21,MATCH(D$2,'Raw Data'!$1:$1,0))</f>
        <v>4314.8500000000004</v>
      </c>
      <c r="E22" s="4" cm="1">
        <f t="array" ref="E22">IF(ISNUMBER(INDEX('Raw Data'!21:21,MATCH("CPP Second Contribution",'Raw Data'!21:21,0)+1)),INDEX('Raw Data'!21:21,MATCH("CPP Second Contribution",'Raw Data'!21:21,0)+1),INDEX('Raw Data'!21:21,MATCH(E$2,'Raw Data'!21:21,0)+1))</f>
        <v>417.69</v>
      </c>
      <c r="F22" s="4">
        <f t="array" ref="F22">INDEX('Raw Data'!21:21,MATCH(F$2,'Raw Data'!21:21,0)+1)</f>
        <v>115.13</v>
      </c>
      <c r="G22" s="4">
        <f t="array" ref="G22">INDEX('Raw Data'!21:21,MATCH(G$2,'Raw Data'!21:21,0)+1)</f>
        <v>2172.33</v>
      </c>
      <c r="H22" s="4">
        <f t="array" ref="H22">INDEX('Raw Data'!21:21,MATCH(H$2,'Raw Data'!21:21,0)+1)</f>
        <v>0</v>
      </c>
      <c r="I22" s="4">
        <f t="array" ref="I22">INDEX('Raw Data'!21:21,MATCH(I$2,'Raw Data'!21:21,0)+1)</f>
        <v>0</v>
      </c>
      <c r="J22" s="4">
        <f t="array" ref="J22">INDEX('Raw Data'!21:21,MATCH(J$2,'Raw Data'!21:21,0)+1)</f>
        <v>0</v>
      </c>
    </row>
    <row r="23" spans="1:10" x14ac:dyDescent="0.55000000000000004">
      <c r="A23" t="str">
        <f>INDEX('Raw Data'!22:22,MATCH(A$2,'Raw Data'!$1:$1,0))</f>
        <v>153 15 Apr 2025 - 28 Apr 2025 TT003576_202509_1.pdf</v>
      </c>
      <c r="B23" t="str">
        <f t="shared" si="1"/>
        <v>153</v>
      </c>
      <c r="C23" s="1">
        <f>INDEX('Raw Data'!22:22,MATCH(C$2,'Raw Data'!$1:$1,0))</f>
        <v>45772</v>
      </c>
      <c r="D23" s="4">
        <f>INDEX('Raw Data'!22:22,MATCH(D$2,'Raw Data'!$1:$1,0))</f>
        <v>2321.9299999999998</v>
      </c>
      <c r="E23" s="4" cm="1">
        <f t="array" ref="E23">IF(ISNUMBER(INDEX('Raw Data'!22:22,MATCH("CPP Second Contribution",'Raw Data'!22:22,0)+1)),INDEX('Raw Data'!22:22,MATCH("CPP Second Contribution",'Raw Data'!22:22,0)+1),INDEX('Raw Data'!22:22,MATCH(E$2,'Raw Data'!22:22,0)+1))</f>
        <v>193.27</v>
      </c>
      <c r="F23" s="4">
        <f t="array" ref="F23">INDEX('Raw Data'!22:22,MATCH(F$2,'Raw Data'!22:22,0)+1)</f>
        <v>55.32</v>
      </c>
      <c r="G23" s="4">
        <f t="array" ref="G23">INDEX('Raw Data'!22:22,MATCH(G$2,'Raw Data'!22:22,0)+1)</f>
        <v>606.95000000000005</v>
      </c>
      <c r="H23" s="4">
        <f t="array" ref="H23">INDEX('Raw Data'!22:22,MATCH(H$2,'Raw Data'!22:22,0)+1)</f>
        <v>7.02</v>
      </c>
      <c r="I23" s="4">
        <f t="array" ref="I23">INDEX('Raw Data'!22:22,MATCH(I$2,'Raw Data'!22:22,0)+1)</f>
        <v>19.93</v>
      </c>
      <c r="J23" s="4">
        <f t="array" ref="J23">INDEX('Raw Data'!22:22,MATCH(J$2,'Raw Data'!22:22,0)+1)</f>
        <v>168.65</v>
      </c>
    </row>
    <row r="24" spans="1:10" x14ac:dyDescent="0.55000000000000004">
      <c r="A24" t="str">
        <f>INDEX('Raw Data'!23:23,MATCH(A$2,'Raw Data'!$1:$1,0))</f>
        <v>154 29 Apr 2025 - 12 May 2025 TT003576_202510_1.pdf</v>
      </c>
      <c r="B24" t="str">
        <f t="shared" si="1"/>
        <v>154</v>
      </c>
      <c r="C24" s="1">
        <f>INDEX('Raw Data'!23:23,MATCH(C$2,'Raw Data'!$1:$1,0))</f>
        <v>45786</v>
      </c>
      <c r="D24" s="4">
        <f>INDEX('Raw Data'!23:23,MATCH(D$2,'Raw Data'!$1:$1,0))</f>
        <v>2461.62</v>
      </c>
      <c r="E24" s="4" cm="1">
        <f t="array" ref="E24">IF(ISNUMBER(INDEX('Raw Data'!23:23,MATCH("CPP Second Contribution",'Raw Data'!23:23,0)+1)),INDEX('Raw Data'!23:23,MATCH("CPP Second Contribution",'Raw Data'!23:23,0)+1),INDEX('Raw Data'!23:23,MATCH(E$2,'Raw Data'!23:23,0)+1))</f>
        <v>207.23</v>
      </c>
      <c r="F24" s="4">
        <f t="array" ref="F24">INDEX('Raw Data'!23:23,MATCH(F$2,'Raw Data'!23:23,0)+1)</f>
        <v>59.17</v>
      </c>
      <c r="G24" s="4">
        <f t="array" ref="G24">INDEX('Raw Data'!23:23,MATCH(G$2,'Raw Data'!23:23,0)+1)</f>
        <v>672.34</v>
      </c>
      <c r="H24" s="4">
        <f t="array" ref="H24">INDEX('Raw Data'!23:23,MATCH(H$2,'Raw Data'!23:23,0)+1)</f>
        <v>7.02</v>
      </c>
      <c r="I24" s="4">
        <f t="array" ref="I24">INDEX('Raw Data'!23:23,MATCH(I$2,'Raw Data'!23:23,0)+1)</f>
        <v>19.93</v>
      </c>
      <c r="J24" s="4">
        <f t="array" ref="J24">INDEX('Raw Data'!23:23,MATCH(J$2,'Raw Data'!23:23,0)+1)</f>
        <v>180.38</v>
      </c>
    </row>
    <row r="25" spans="1:10" x14ac:dyDescent="0.55000000000000004">
      <c r="A25" t="str">
        <f>INDEX('Raw Data'!24:24,MATCH(A$2,'Raw Data'!$1:$1,0))</f>
        <v>155 13 May 2025 - 26 May 2025 TT003576_202511_1.pdf</v>
      </c>
      <c r="B25" t="str">
        <f t="shared" si="1"/>
        <v>155</v>
      </c>
      <c r="C25" s="1">
        <f>INDEX('Raw Data'!24:24,MATCH(C$2,'Raw Data'!$1:$1,0))</f>
        <v>45800</v>
      </c>
      <c r="D25" s="4">
        <f>INDEX('Raw Data'!24:24,MATCH(D$2,'Raw Data'!$1:$1,0))</f>
        <v>2461.62</v>
      </c>
      <c r="E25" s="4" cm="1">
        <f t="array" ref="E25">IF(ISNUMBER(INDEX('Raw Data'!24:24,MATCH("CPP Second Contribution",'Raw Data'!24:24,0)+1)),INDEX('Raw Data'!24:24,MATCH("CPP Second Contribution",'Raw Data'!24:24,0)+1),INDEX('Raw Data'!24:24,MATCH(E$2,'Raw Data'!24:24,0)+1))</f>
        <v>207.23</v>
      </c>
      <c r="F25" s="4">
        <f t="array" ref="F25">INDEX('Raw Data'!24:24,MATCH(F$2,'Raw Data'!24:24,0)+1)</f>
        <v>59.17</v>
      </c>
      <c r="G25" s="4">
        <f t="array" ref="G25">INDEX('Raw Data'!24:24,MATCH(G$2,'Raw Data'!24:24,0)+1)</f>
        <v>672.34</v>
      </c>
      <c r="H25" s="4">
        <f t="array" ref="H25">INDEX('Raw Data'!24:24,MATCH(H$2,'Raw Data'!24:24,0)+1)</f>
        <v>7.02</v>
      </c>
      <c r="I25" s="4">
        <f t="array" ref="I25">INDEX('Raw Data'!24:24,MATCH(I$2,'Raw Data'!24:24,0)+1)</f>
        <v>19.93</v>
      </c>
      <c r="J25" s="4">
        <f t="array" ref="J25">INDEX('Raw Data'!24:24,MATCH(J$2,'Raw Data'!24:24,0)+1)</f>
        <v>180.38</v>
      </c>
    </row>
    <row r="26" spans="1:10" x14ac:dyDescent="0.55000000000000004">
      <c r="A26" t="str">
        <f>INDEX('Raw Data'!25:25,MATCH(A$2,'Raw Data'!$1:$1,0))</f>
        <v>156 27 May 2025 - 09 Jun 2025 TT003576_202512_1.pdf</v>
      </c>
      <c r="B26" t="str">
        <f t="shared" si="1"/>
        <v>156</v>
      </c>
      <c r="C26" s="1">
        <f>INDEX('Raw Data'!25:25,MATCH(C$2,'Raw Data'!$1:$1,0))</f>
        <v>45814</v>
      </c>
      <c r="D26" s="4">
        <f>INDEX('Raw Data'!25:25,MATCH(D$2,'Raw Data'!$1:$1,0))</f>
        <v>2459.2800000000002</v>
      </c>
      <c r="E26" s="4" cm="1">
        <f t="array" ref="E26">IF(ISNUMBER(INDEX('Raw Data'!25:25,MATCH("CPP Second Contribution",'Raw Data'!25:25,0)+1)),INDEX('Raw Data'!25:25,MATCH("CPP Second Contribution",'Raw Data'!25:25,0)+1),INDEX('Raw Data'!25:25,MATCH(E$2,'Raw Data'!25:25,0)+1))</f>
        <v>207.23</v>
      </c>
      <c r="F26" s="4">
        <f t="array" ref="F26">INDEX('Raw Data'!25:25,MATCH(F$2,'Raw Data'!25:25,0)+1)</f>
        <v>59.17</v>
      </c>
      <c r="G26" s="4">
        <f t="array" ref="G26">INDEX('Raw Data'!25:25,MATCH(G$2,'Raw Data'!25:25,0)+1)</f>
        <v>672.34</v>
      </c>
      <c r="H26" s="4">
        <f t="array" ref="H26">INDEX('Raw Data'!25:25,MATCH(H$2,'Raw Data'!25:25,0)+1)</f>
        <v>7.02</v>
      </c>
      <c r="I26" s="4">
        <f t="array" ref="I26">INDEX('Raw Data'!25:25,MATCH(I$2,'Raw Data'!25:25,0)+1)</f>
        <v>22.27</v>
      </c>
      <c r="J26" s="4">
        <f t="array" ref="J26">INDEX('Raw Data'!25:25,MATCH(J$2,'Raw Data'!25:25,0)+1)</f>
        <v>180.38</v>
      </c>
    </row>
    <row r="27" spans="1:10" x14ac:dyDescent="0.55000000000000004">
      <c r="A27" t="str">
        <f>INDEX('Raw Data'!26:26,MATCH(A$2,'Raw Data'!$1:$1,0))</f>
        <v>157 10 Jun 2025 - 23 Jun 2025 TT003576_202513_1.pdf</v>
      </c>
      <c r="B27" t="str">
        <f t="shared" si="1"/>
        <v>157</v>
      </c>
      <c r="C27" s="1">
        <f>INDEX('Raw Data'!26:26,MATCH(C$2,'Raw Data'!$1:$1,0))</f>
        <v>45828</v>
      </c>
      <c r="D27" s="4">
        <f>INDEX('Raw Data'!26:26,MATCH(D$2,'Raw Data'!$1:$1,0))</f>
        <v>2459.2800000000002</v>
      </c>
      <c r="E27" s="4" cm="1">
        <f t="array" ref="E27">IF(ISNUMBER(INDEX('Raw Data'!26:26,MATCH("CPP Second Contribution",'Raw Data'!26:26,0)+1)),INDEX('Raw Data'!26:26,MATCH("CPP Second Contribution",'Raw Data'!26:26,0)+1),INDEX('Raw Data'!26:26,MATCH(E$2,'Raw Data'!26:26,0)+1))</f>
        <v>207.23</v>
      </c>
      <c r="F27" s="4">
        <f t="array" ref="F27">INDEX('Raw Data'!26:26,MATCH(F$2,'Raw Data'!26:26,0)+1)</f>
        <v>59.17</v>
      </c>
      <c r="G27" s="4">
        <f t="array" ref="G27">INDEX('Raw Data'!26:26,MATCH(G$2,'Raw Data'!26:26,0)+1)</f>
        <v>672.34</v>
      </c>
      <c r="H27" s="4">
        <f t="array" ref="H27">INDEX('Raw Data'!26:26,MATCH(H$2,'Raw Data'!26:26,0)+1)</f>
        <v>7.02</v>
      </c>
      <c r="I27" s="4">
        <f t="array" ref="I27">INDEX('Raw Data'!26:26,MATCH(I$2,'Raw Data'!26:26,0)+1)</f>
        <v>22.27</v>
      </c>
      <c r="J27" s="4">
        <f t="array" ref="J27">INDEX('Raw Data'!26:26,MATCH(J$2,'Raw Data'!26:26,0)+1)</f>
        <v>180.38</v>
      </c>
    </row>
    <row r="28" spans="1:10" x14ac:dyDescent="0.55000000000000004">
      <c r="A28" t="str">
        <f>INDEX('Raw Data'!27:27,MATCH(A$2,'Raw Data'!$1:$1,0))</f>
        <v>158 24 Jun 2025 - 07 Jul 2025 TT003576_202514_1.pdf</v>
      </c>
      <c r="B28" t="str">
        <f t="shared" si="1"/>
        <v>158</v>
      </c>
      <c r="C28" s="1">
        <f>INDEX('Raw Data'!27:27,MATCH(C$2,'Raw Data'!$1:$1,0))</f>
        <v>45842</v>
      </c>
      <c r="D28" s="4">
        <f>INDEX('Raw Data'!27:27,MATCH(D$2,'Raw Data'!$1:$1,0))</f>
        <v>2474.0100000000002</v>
      </c>
      <c r="E28" s="4" cm="1">
        <f t="array" ref="E28">IF(ISNUMBER(INDEX('Raw Data'!27:27,MATCH("CPP Second Contribution",'Raw Data'!27:27,0)+1)),INDEX('Raw Data'!27:27,MATCH("CPP Second Contribution",'Raw Data'!27:27,0)+1),INDEX('Raw Data'!27:27,MATCH(E$2,'Raw Data'!27:27,0)+1))</f>
        <v>207.23</v>
      </c>
      <c r="F28" s="4">
        <f t="array" ref="F28">INDEX('Raw Data'!27:27,MATCH(F$2,'Raw Data'!27:27,0)+1)</f>
        <v>59.17</v>
      </c>
      <c r="G28" s="4">
        <f t="array" ref="G28">INDEX('Raw Data'!27:27,MATCH(G$2,'Raw Data'!27:27,0)+1)</f>
        <v>658.78</v>
      </c>
      <c r="H28" s="4">
        <f t="array" ref="H28">INDEX('Raw Data'!27:27,MATCH(H$2,'Raw Data'!27:27,0)+1)</f>
        <v>7.02</v>
      </c>
      <c r="I28" s="4">
        <f t="array" ref="I28">INDEX('Raw Data'!27:27,MATCH(I$2,'Raw Data'!27:27,0)+1)</f>
        <v>21.1</v>
      </c>
      <c r="J28" s="4">
        <f t="array" ref="J28">INDEX('Raw Data'!27:27,MATCH(J$2,'Raw Data'!27:27,0)+1)</f>
        <v>180.38</v>
      </c>
    </row>
    <row r="29" spans="1:10" x14ac:dyDescent="0.55000000000000004">
      <c r="A29" t="str">
        <f>INDEX('Raw Data'!28:28,MATCH(A$2,'Raw Data'!$1:$1,0))</f>
        <v>159 08 Jul 2025 - 21 Jul 2025 TT003576_202515_1.pdf</v>
      </c>
      <c r="B29" t="str">
        <f t="shared" si="1"/>
        <v>159</v>
      </c>
      <c r="C29" s="1">
        <f>INDEX('Raw Data'!28:28,MATCH(C$2,'Raw Data'!$1:$1,0))</f>
        <v>45856</v>
      </c>
      <c r="D29" s="4">
        <f>INDEX('Raw Data'!28:28,MATCH(D$2,'Raw Data'!$1:$1,0))</f>
        <v>2474.0100000000002</v>
      </c>
      <c r="E29" s="4" cm="1">
        <f t="array" ref="E29">IF(ISNUMBER(INDEX('Raw Data'!28:28,MATCH("CPP Second Contribution",'Raw Data'!28:28,0)+1)),INDEX('Raw Data'!28:28,MATCH("CPP Second Contribution",'Raw Data'!28:28,0)+1),INDEX('Raw Data'!28:28,MATCH(E$2,'Raw Data'!28:28,0)+1))</f>
        <v>207.23</v>
      </c>
      <c r="F29" s="4">
        <f t="array" ref="F29">INDEX('Raw Data'!28:28,MATCH(F$2,'Raw Data'!28:28,0)+1)</f>
        <v>59.17</v>
      </c>
      <c r="G29" s="4">
        <f t="array" ref="G29">INDEX('Raw Data'!28:28,MATCH(G$2,'Raw Data'!28:28,0)+1)</f>
        <v>658.78</v>
      </c>
      <c r="H29" s="4">
        <f t="array" ref="H29">INDEX('Raw Data'!28:28,MATCH(H$2,'Raw Data'!28:28,0)+1)</f>
        <v>7.02</v>
      </c>
      <c r="I29" s="4">
        <f t="array" ref="I29">INDEX('Raw Data'!28:28,MATCH(I$2,'Raw Data'!28:28,0)+1)</f>
        <v>21.1</v>
      </c>
      <c r="J29" s="4">
        <f t="array" ref="J29">INDEX('Raw Data'!28:28,MATCH(J$2,'Raw Data'!28:28,0)+1)</f>
        <v>180.38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F28" sqref="F28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Processed Data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Chikowero, Wendy</cp:lastModifiedBy>
  <dcterms:created xsi:type="dcterms:W3CDTF">2025-07-24T17:50:34Z</dcterms:created>
  <dcterms:modified xsi:type="dcterms:W3CDTF">2025-07-24T21:29:21Z</dcterms:modified>
</cp:coreProperties>
</file>